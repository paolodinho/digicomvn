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ỘI BỘ - Giá vốn" sheetId="1" state="visible" r:id="rId1"/>
    <sheet xmlns:r="http://schemas.openxmlformats.org/officeDocument/2006/relationships" name="Thông tin &amp; Thanh toá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Times New Roman"/>
      <b val="1"/>
      <color rgb="00FFFFFF"/>
      <sz val="16"/>
    </font>
    <font>
      <name val="Times New Roman"/>
      <color rgb="00FFFFFF"/>
      <sz val="11"/>
    </font>
    <font>
      <name val="Times New Roman"/>
      <b val="1"/>
      <color rgb="00FFFFFF"/>
      <sz val="12"/>
    </font>
    <font>
      <name val="Times New Roman"/>
      <color rgb="001C2035"/>
      <sz val="12"/>
    </font>
    <font>
      <name val="Times New Roman"/>
      <b val="1"/>
      <color rgb="001C2035"/>
      <sz val="12"/>
    </font>
    <font>
      <name val="Times New Roman"/>
      <color rgb="001C2035"/>
      <sz val="11"/>
    </font>
    <font>
      <name val="Times New Roman"/>
      <b val="1"/>
      <color rgb="00B91C1C"/>
      <sz val="12"/>
    </font>
  </fonts>
  <fills count="4">
    <fill>
      <patternFill/>
    </fill>
    <fill>
      <patternFill patternType="gray125"/>
    </fill>
    <fill>
      <patternFill patternType="solid">
        <fgColor rgb="00B91C1C"/>
      </patternFill>
    </fill>
    <fill>
      <patternFill patternType="solid">
        <fgColor rgb="007F1D1D"/>
      </patternFill>
    </fill>
  </fills>
  <borders count="2">
    <border>
      <left/>
      <right/>
      <top/>
      <bottom/>
      <diagonal/>
    </border>
    <border>
      <left style="thin">
        <color rgb="00BFC5D2"/>
      </left>
      <right style="thin">
        <color rgb="00BFC5D2"/>
      </right>
      <top style="thin">
        <color rgb="00BFC5D2"/>
      </top>
      <bottom style="thin">
        <color rgb="00BFC5D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9" fontId="4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164" fontId="5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91C1C"/>
    <outlinePr summaryBelow="1" summaryRight="1"/>
    <pageSetUpPr fitToPage="1"/>
  </sheetPr>
  <dimension ref="A1:I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2" customWidth="1" min="4" max="4"/>
    <col width="16" customWidth="1" min="5" max="5"/>
    <col width="16" customWidth="1" min="6" max="6"/>
    <col width="14" customWidth="1" min="7" max="7"/>
    <col width="12" customWidth="1" min="8" max="8"/>
    <col width="52" customWidth="1" min="9" max="9"/>
  </cols>
  <sheetData>
    <row r="1" ht="32" customHeight="1">
      <c r="A1" s="1" t="inlineStr">
        <is>
          <t>⚠ FILE NỘI BỘ - TUYỆT ĐỐI KHÔNG GỬI KHÁCH</t>
        </is>
      </c>
    </row>
    <row r="2" ht="48" customHeight="1">
      <c r="A2" s="2" t="inlineStr">
        <is>
          <t>Báo giá PR báo y tế - 27/10/2026. Nguồn: Plan PR 27/10/26 y tế (Life Media, file Drive "Plan PR - 27/10/26 y tế.xlsx"). Quy tắc 27/10: giá Life Media (sau CK nguồn) x 1,10 làm giá bán, làm tròn lên nghìn. Khách hàng trong plan để trống - báo giá ghi "Quý khách hàng".</t>
        </is>
      </c>
    </row>
    <row r="4" ht="34" customHeight="1">
      <c r="A4" s="3" t="inlineStr">
        <is>
          <t>Báo</t>
        </is>
      </c>
      <c r="B4" s="3" t="inlineStr">
        <is>
          <t>NCC</t>
        </is>
      </c>
      <c r="C4" s="3" t="inlineStr">
        <is>
          <t>Giá NCC niêm yết</t>
        </is>
      </c>
      <c r="D4" s="3" t="inlineStr">
        <is>
          <t>CK nguồn</t>
        </is>
      </c>
      <c r="E4" s="3" t="inlineStr">
        <is>
          <t>Giá vốn thật</t>
        </is>
      </c>
      <c r="F4" s="3" t="inlineStr">
        <is>
          <t>Giá bán chưa VAT</t>
        </is>
      </c>
      <c r="G4" s="3" t="inlineStr">
        <is>
          <t>Lãi / bài</t>
        </is>
      </c>
      <c r="H4" s="3" t="inlineStr">
        <is>
          <t>% lãi trên vốn</t>
        </is>
      </c>
      <c r="I4" s="3" t="inlineStr">
        <is>
          <t>Hiển thị cho khách</t>
        </is>
      </c>
    </row>
    <row r="5" ht="46" customHeight="1">
      <c r="A5" s="4" t="inlineStr">
        <is>
          <t>suckhoedoisong.vn</t>
        </is>
      </c>
      <c r="B5" s="4" t="inlineStr">
        <is>
          <t>Life Media</t>
        </is>
      </c>
      <c r="C5" s="5" t="n">
        <v>5000000</v>
      </c>
      <c r="D5" s="6" t="n">
        <v>0.2</v>
      </c>
      <c r="E5" s="5">
        <f>ROUND(C5*(1-D5),0)</f>
        <v/>
      </c>
      <c r="F5" s="7">
        <f>CEILING(ROUND(E5*1.1,0),1000)</f>
        <v/>
      </c>
      <c r="G5" s="5">
        <f>F5-E5</f>
        <v/>
      </c>
      <c r="H5" s="8">
        <f>G5/E5</f>
        <v/>
      </c>
      <c r="I5" s="9" t="inlineStr">
        <is>
          <t>Niêm yết 5,720,000 - CK 23% (số trình bày, không phải giá thật). Bán = vốn x 1,10.</t>
        </is>
      </c>
    </row>
    <row r="6" ht="46" customHeight="1">
      <c r="A6" s="4" t="inlineStr">
        <is>
          <t>tintuconline.com.vn</t>
        </is>
      </c>
      <c r="B6" s="4" t="inlineStr">
        <is>
          <t>Life Media</t>
        </is>
      </c>
      <c r="C6" s="5" t="n">
        <v>2500000</v>
      </c>
      <c r="D6" s="6" t="n">
        <v>0.2</v>
      </c>
      <c r="E6" s="5">
        <f>ROUND(C6*(1-D6),0)</f>
        <v/>
      </c>
      <c r="F6" s="7">
        <f>CEILING(ROUND(E6*1.1,0),1000)</f>
        <v/>
      </c>
      <c r="G6" s="5">
        <f>F6-E6</f>
        <v/>
      </c>
      <c r="H6" s="8">
        <f>G6/E6</f>
        <v/>
      </c>
      <c r="I6" s="9" t="inlineStr">
        <is>
          <t>Niêm yết 3,020,000 - CK 27% (số trình bày, không phải giá thật). Bán = vốn x 1,10.</t>
        </is>
      </c>
    </row>
    <row r="7" ht="46" customHeight="1">
      <c r="A7" s="4" t="inlineStr">
        <is>
          <t>vietnamnet.vn</t>
        </is>
      </c>
      <c r="B7" s="4" t="inlineStr">
        <is>
          <t>Life Media</t>
        </is>
      </c>
      <c r="C7" s="5" t="n">
        <v>6000000</v>
      </c>
      <c r="D7" s="6" t="n">
        <v>0.27</v>
      </c>
      <c r="E7" s="5">
        <f>ROUND(C7*(1-D7),0)</f>
        <v/>
      </c>
      <c r="F7" s="7">
        <f>CEILING(ROUND(E7*1.1,0),1000)</f>
        <v/>
      </c>
      <c r="G7" s="5">
        <f>F7-E7</f>
        <v/>
      </c>
      <c r="H7" s="8">
        <f>G7/E7</f>
        <v/>
      </c>
      <c r="I7" s="9" t="inlineStr">
        <is>
          <t>Niêm yết 6,100,000 - CK 21% (số trình bày, không phải giá thật). Bán = vốn x 1,10.</t>
        </is>
      </c>
    </row>
    <row r="8" ht="46" customHeight="1">
      <c r="A8" s="4" t="inlineStr">
        <is>
          <t>24h.com.vn</t>
        </is>
      </c>
      <c r="B8" s="4" t="inlineStr">
        <is>
          <t>Life Media</t>
        </is>
      </c>
      <c r="C8" s="5" t="n">
        <v>6000000</v>
      </c>
      <c r="D8" s="6" t="n">
        <v>0.3</v>
      </c>
      <c r="E8" s="5">
        <f>ROUND(C8*(1-D8),0)</f>
        <v/>
      </c>
      <c r="F8" s="7">
        <f>CEILING(ROUND(E8*1.1,0),1000)</f>
        <v/>
      </c>
      <c r="G8" s="5">
        <f>F8-E8</f>
        <v/>
      </c>
      <c r="H8" s="8">
        <f>G8/E8</f>
        <v/>
      </c>
      <c r="I8" s="9" t="inlineStr">
        <is>
          <t>Niêm yết 6,420,000 - CK 28% (số trình bày, không phải giá thật). Bán = vốn x 1,10.</t>
        </is>
      </c>
    </row>
    <row r="9" ht="46" customHeight="1">
      <c r="A9" s="4" t="inlineStr">
        <is>
          <t>alobacsi.com</t>
        </is>
      </c>
      <c r="B9" s="4" t="inlineStr">
        <is>
          <t>Life Media</t>
        </is>
      </c>
      <c r="C9" s="5" t="n">
        <v>2000000</v>
      </c>
      <c r="D9" s="6" t="n">
        <v>0.15</v>
      </c>
      <c r="E9" s="5">
        <f>ROUND(C9*(1-D9),0)</f>
        <v/>
      </c>
      <c r="F9" s="7">
        <f>CEILING(ROUND(E9*1.1,0),1000)</f>
        <v/>
      </c>
      <c r="G9" s="5">
        <f>F9-E9</f>
        <v/>
      </c>
      <c r="H9" s="8">
        <f>G9/E9</f>
        <v/>
      </c>
      <c r="I9" s="9" t="inlineStr">
        <is>
          <t>Niêm yết 2,470,000 - CK 24% (số trình bày, không phải giá thật). Bán = vốn x 1,10.</t>
        </is>
      </c>
    </row>
    <row r="10" ht="46" customHeight="1">
      <c r="A10" s="4" t="inlineStr">
        <is>
          <t>songkhoevietnam.net</t>
        </is>
      </c>
      <c r="B10" s="4" t="inlineStr">
        <is>
          <t>Life Media</t>
        </is>
      </c>
      <c r="C10" s="5" t="n">
        <v>1200000</v>
      </c>
      <c r="D10" s="6" t="n">
        <v>0</v>
      </c>
      <c r="E10" s="5">
        <f>ROUND(C10*(1-D10),0)</f>
        <v/>
      </c>
      <c r="F10" s="7">
        <f>CEILING(ROUND(E10*1.1,0),1000)</f>
        <v/>
      </c>
      <c r="G10" s="5">
        <f>F10-E10</f>
        <v/>
      </c>
      <c r="H10" s="8">
        <f>G10/E10</f>
        <v/>
      </c>
      <c r="I10" s="9" t="inlineStr">
        <is>
          <t>Niêm yết 1,790,000 - CK 26% (số trình bày, không phải giá thật). Bán = vốn x 1,10.</t>
        </is>
      </c>
    </row>
    <row r="11">
      <c r="A11" s="10" t="inlineStr">
        <is>
          <t>TỔNG</t>
        </is>
      </c>
      <c r="B11" s="11" t="n"/>
      <c r="C11" s="7">
        <f>SUM(C5:C10)</f>
        <v/>
      </c>
      <c r="D11" s="12" t="n"/>
      <c r="E11" s="7">
        <f>SUM(E5:E10)</f>
        <v/>
      </c>
      <c r="F11" s="7">
        <f>SUM(F5:F10)</f>
        <v/>
      </c>
      <c r="G11" s="7">
        <f>SUM(G5:G10)</f>
        <v/>
      </c>
      <c r="H11" s="13">
        <f>G11/E11</f>
        <v/>
      </c>
      <c r="I11" s="12" t="n"/>
    </row>
    <row r="13">
      <c r="A13" s="14" t="inlineStr">
        <is>
          <t>Ghi chú nội bộ</t>
        </is>
      </c>
    </row>
    <row r="14" ht="30" customHeight="1">
      <c r="A14" s="15" t="inlineStr">
        <is>
          <t>Tổng vốn 17,480,000 / bán chưa VAT 19,228,000 / lãi 1,748,000. Bán gồm VAT 8%: 20,766,240.</t>
        </is>
      </c>
    </row>
    <row r="15" ht="48" customHeight="1">
      <c r="A15" s="15" t="inlineStr">
        <is>
          <t>LỖI TRONG FILE PLAN GỐC: ô tổng "=SUM(H8:H12)" bỏ sót dòng 6 (songkhoevietnam.net 1.200.000) nên Plan ghi 16.280.000 chưa VAT; tổng đúng 6 dòng = 17.480.000 (gồm VAT 18.878.400). Cần báo lại Life Media sửa nếu họ gửi bản này cho khách khác.</t>
        </is>
      </c>
    </row>
    <row r="16" ht="48" customHeight="1">
      <c r="A16" s="15" t="inlineStr">
        <is>
          <t>Chưa đối chiếu giá NCC khác (DanaSEO, Goodcom...) cho từng báo - chỉ dùng giá Life Media trong Plan. Nếu có NCC rẻ hơn theo quy tắc "lấy phương án rẻ nhất" thì thay vào.</t>
        </is>
      </c>
    </row>
    <row r="17" ht="48" customHeight="1">
      <c r="A17" s="15" t="inlineStr">
        <is>
          <t>Thời gian duyệt bài Life Media: 3-5 ngày, không gồm T7/CN. Dòng 6 (songkhoevietnam.net): bài đi lấy link, 1.000 từ, 5 ảnh, 2 link, không cam kết vị trí.</t>
        </is>
      </c>
    </row>
    <row r="18" ht="48" customHeight="1">
      <c r="A18" s="15" t="inlineStr">
        <is>
          <t>Cần xác nhận lại với Life Media: giá còn hiệu lực, vị trí từng báo theo nội dung y tế thực tế, khách hàng cụ thể (Plan để trống).</t>
        </is>
      </c>
    </row>
  </sheetData>
  <mergeCells count="8">
    <mergeCell ref="A15:I15"/>
    <mergeCell ref="A2:I2"/>
    <mergeCell ref="A13:I13"/>
    <mergeCell ref="A14:I14"/>
    <mergeCell ref="A1:I1"/>
    <mergeCell ref="A17:I17"/>
    <mergeCell ref="A18:I18"/>
    <mergeCell ref="A16:I1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B91C1C"/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8" customWidth="1" min="2" max="2"/>
  </cols>
  <sheetData>
    <row r="1" ht="26" customHeight="1">
      <c r="A1" s="1" t="inlineStr">
        <is>
          <t>THÔNG TIN &amp; THANH TOÁN</t>
        </is>
      </c>
    </row>
    <row r="2"/>
    <row r="3">
      <c r="A3" s="16" t="inlineStr">
        <is>
          <t>1. Thông tin bên bán</t>
        </is>
      </c>
    </row>
    <row r="4">
      <c r="A4" s="17" t="inlineStr">
        <is>
          <t>Tên công ty</t>
        </is>
      </c>
      <c r="B4" s="18" t="inlineStr">
        <is>
          <t>CÔNG TY TNHH DỊCH VỤ TRUYỀN THÔNG DIGITO COMBAT</t>
        </is>
      </c>
    </row>
    <row r="5">
      <c r="A5" s="17" t="inlineStr">
        <is>
          <t>Mã số thuế</t>
        </is>
      </c>
      <c r="B5" s="18" t="inlineStr">
        <is>
          <t>0109816406</t>
        </is>
      </c>
    </row>
    <row r="6">
      <c r="A6" s="17" t="inlineStr">
        <is>
          <t>Địa chỉ giao dịch</t>
        </is>
      </c>
      <c r="B6" s="18" t="inlineStr">
        <is>
          <t>Số nhà 200, Đường 3.1, Khu đô thị Gamuda Garden, Phường Hoàng Mai, TP. Hà Nội</t>
        </is>
      </c>
    </row>
    <row r="7">
      <c r="A7" s="17" t="inlineStr">
        <is>
          <t>Hotline</t>
        </is>
      </c>
      <c r="B7" s="18" t="inlineStr">
        <is>
          <t>0988 769 317</t>
        </is>
      </c>
    </row>
    <row r="8">
      <c r="A8" s="17" t="inlineStr">
        <is>
          <t>Email</t>
        </is>
      </c>
      <c r="B8" s="18" t="inlineStr">
        <is>
          <t>sales@digicomvn.com</t>
        </is>
      </c>
    </row>
    <row r="9">
      <c r="A9" s="17" t="inlineStr">
        <is>
          <t>Website</t>
        </is>
      </c>
      <c r="B9" s="18" t="inlineStr">
        <is>
          <t>digicomvn.com</t>
        </is>
      </c>
    </row>
    <row r="10">
      <c r="A10" s="16" t="inlineStr">
        <is>
          <t>2. Thông tin thanh toán</t>
        </is>
      </c>
    </row>
    <row r="11">
      <c r="A11" s="17" t="inlineStr">
        <is>
          <t>Số tài khoản</t>
        </is>
      </c>
      <c r="B11" s="18" t="inlineStr">
        <is>
          <t>567898838</t>
        </is>
      </c>
    </row>
    <row r="12">
      <c r="A12" s="17" t="inlineStr">
        <is>
          <t>Ngân hàng</t>
        </is>
      </c>
      <c r="B12" s="18" t="inlineStr">
        <is>
          <t>Ngân hàng TMCP Quân đội (MB Bank)</t>
        </is>
      </c>
    </row>
    <row r="13">
      <c r="A13" s="17" t="inlineStr">
        <is>
          <t>Chủ tài khoản</t>
        </is>
      </c>
      <c r="B13" s="18" t="inlineStr">
        <is>
          <t>CONG TY TNHH DVTT DIGITO COMBAT</t>
        </is>
      </c>
    </row>
    <row r="14">
      <c r="A14" s="17" t="inlineStr">
        <is>
          <t>Nội dung chuyển khoản</t>
        </is>
      </c>
      <c r="B14" s="18" t="inlineStr">
        <is>
          <t>BG-YTE-271026 + [Họ tên người chuyển]</t>
        </is>
      </c>
    </row>
    <row r="15">
      <c r="A15" s="17" t="inlineStr">
        <is>
          <t>Hình thức thanh toán</t>
        </is>
      </c>
      <c r="B15" s="18" t="inlineStr">
        <is>
          <t>Thanh toán 100% giá trị đơn hàng trước khi triển khai đăng bài.</t>
        </is>
      </c>
    </row>
    <row r="16">
      <c r="A16" s="17" t="inlineStr">
        <is>
          <t>Hoá đơn</t>
        </is>
      </c>
      <c r="B16" s="18" t="inlineStr">
        <is>
          <t>Xuất hoá đơn VAT 8% theo thông tin bên mua cung cấp.</t>
        </is>
      </c>
    </row>
    <row r="17">
      <c r="A17" s="16" t="inlineStr">
        <is>
          <t>3. Hiệu lực báo giá</t>
        </is>
      </c>
    </row>
    <row r="18">
      <c r="A18" s="17" t="inlineStr">
        <is>
          <t>Ngày phát hành</t>
        </is>
      </c>
      <c r="B18" s="18" t="inlineStr">
        <is>
          <t>27/10/2026</t>
        </is>
      </c>
    </row>
    <row r="19">
      <c r="A19" s="17" t="inlineStr">
        <is>
          <t>Hiệu lực đến hết</t>
        </is>
      </c>
      <c r="B19" s="18" t="inlineStr">
        <is>
          <t>03/11/2026 (7 ngày kể từ ngày phát hành)</t>
        </is>
      </c>
    </row>
    <row r="20">
      <c r="A20" s="17" t="inlineStr">
        <is>
          <t>Lưu ý</t>
        </is>
      </c>
      <c r="B20" s="18" t="inlineStr">
        <is>
          <t>Sau thời hạn trên, giá có thể thay đổi theo chính sách của toà soạn - vui lòng liên hệ để xác nhận lại giá trước khi đặt.</t>
        </is>
      </c>
    </row>
  </sheetData>
  <mergeCells count="4">
    <mergeCell ref="A1:B1"/>
    <mergeCell ref="A3:B3"/>
    <mergeCell ref="A10:B10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2026-10-27T07:22:15Z</dcterms:created>
  <dcterms:modified xmlns:dcterms="http://purl.org/dc/terms/" xmlns:xsi="http://www.w3.org/2001/XMLSchema-instance" xsi:type="dcterms:W3CDTF">2026-10-27T07:22:15Z</dcterms:modified>
</cp:coreProperties>
</file>