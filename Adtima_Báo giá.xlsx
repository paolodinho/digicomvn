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6750"/>
  </bookViews>
  <sheets>
    <sheet name="Báo giá"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1" l="1"/>
  <c r="E13" i="1"/>
  <c r="V16" i="1" l="1"/>
  <c r="O19" i="1"/>
  <c r="S19" i="1" s="1"/>
  <c r="K19" i="1"/>
  <c r="V18" i="1"/>
  <c r="R18" i="1"/>
  <c r="S18" i="1" s="1"/>
  <c r="W18" i="1" s="1"/>
  <c r="S17" i="1"/>
  <c r="W19" i="1" l="1"/>
  <c r="W16" i="1" s="1"/>
  <c r="V15" i="1"/>
  <c r="W15" i="1"/>
  <c r="S15" i="1"/>
  <c r="G15" i="1"/>
  <c r="G13" i="1"/>
  <c r="S13" i="1" s="1"/>
  <c r="W13" i="1" s="1"/>
  <c r="V12" i="1"/>
  <c r="G12" i="1"/>
  <c r="S12" i="1" s="1"/>
  <c r="W12" i="1" s="1"/>
  <c r="C5" i="1"/>
  <c r="V17" i="1"/>
  <c r="T10" i="1"/>
  <c r="T16" i="1"/>
  <c r="V11" i="1"/>
  <c r="G11" i="1"/>
  <c r="W17" i="1" l="1"/>
  <c r="G14" i="1"/>
  <c r="S14" i="1" s="1"/>
  <c r="W14" i="1" s="1"/>
  <c r="W10" i="1" s="1"/>
  <c r="C3" i="1" s="1"/>
  <c r="V13" i="1"/>
  <c r="S11" i="1"/>
  <c r="W11" i="1" s="1"/>
  <c r="V14" i="1" l="1"/>
  <c r="V10" i="1" s="1"/>
  <c r="C2" i="1" s="1"/>
  <c r="C6" i="1"/>
  <c r="C4" i="1" l="1"/>
</calcChain>
</file>

<file path=xl/sharedStrings.xml><?xml version="1.0" encoding="utf-8"?>
<sst xmlns="http://schemas.openxmlformats.org/spreadsheetml/2006/main" count="150" uniqueCount="65">
  <si>
    <t>Tổng gói (Gross)</t>
  </si>
  <si>
    <t>Tổng gói (Net)</t>
  </si>
  <si>
    <t>ROI</t>
  </si>
  <si>
    <t>KPI views</t>
  </si>
  <si>
    <t>Tỷ lệ mua ngoài</t>
  </si>
  <si>
    <t>Hạng mục</t>
  </si>
  <si>
    <t>Chi tiết dịch vụ</t>
  </si>
  <si>
    <t>Giá dịch vụ</t>
  </si>
  <si>
    <t>Giá trị gói</t>
  </si>
  <si>
    <t>Khác</t>
  </si>
  <si>
    <t>Nội dung</t>
  </si>
  <si>
    <t>Định dạng</t>
  </si>
  <si>
    <t>Chi phí Zpro</t>
  </si>
  <si>
    <t>Chiết khấu</t>
  </si>
  <si>
    <t>Đơn giá Zpro</t>
  </si>
  <si>
    <t>Base</t>
  </si>
  <si>
    <t>Chi phí base</t>
  </si>
  <si>
    <t>Chiết khấu base</t>
  </si>
  <si>
    <t>Đơn giá base</t>
  </si>
  <si>
    <t>Display</t>
  </si>
  <si>
    <t>Chi phí display</t>
  </si>
  <si>
    <t>Chiết khấu display</t>
  </si>
  <si>
    <t>Đơn giá display</t>
  </si>
  <si>
    <t>Chi phí viral</t>
  </si>
  <si>
    <t>Chiết khấu viral</t>
  </si>
  <si>
    <t>Đơn giá viral</t>
  </si>
  <si>
    <t>Thành tiền đơn giá</t>
  </si>
  <si>
    <t>Số lượng</t>
  </si>
  <si>
    <t>Đơn vị bán</t>
  </si>
  <si>
    <t>Thành tiền gói (gross)</t>
  </si>
  <si>
    <t>Thành tiền gói (net)</t>
  </si>
  <si>
    <t>KPI/Est views</t>
  </si>
  <si>
    <t>Ghi chú</t>
  </si>
  <si>
    <t>I. DỊCH VỤ SẢN XUẤT Z-PRO</t>
  </si>
  <si>
    <t>Video</t>
  </si>
  <si>
    <t>x</t>
  </si>
  <si>
    <t>bài</t>
  </si>
  <si>
    <t>Phí mua ngoài</t>
  </si>
  <si>
    <t>Gói</t>
  </si>
  <si>
    <t>Chi phí quản lý mua ngoài</t>
  </si>
  <si>
    <t>II. DỊCH VỤ TRUYỀN THÔNG ADTIMA</t>
  </si>
  <si>
    <t>Sản xuất bài PR</t>
  </si>
  <si>
    <t xml:space="preserve"> 
* PV tại 1 địa điểm ở trung tâm TP.HCM hoặc Hà Nội
* Áp dụng trong khung tác nghiệp 4 tiếng
* Ngoại thành sẽ phát sinh chi phí đi lại của pv</t>
  </si>
  <si>
    <t>Post Fanpage Zing</t>
  </si>
  <si>
    <t xml:space="preserve"> 
Chia sẻ link bài PR
1.500 tương tác - 150.000 tiếp cận
</t>
  </si>
  <si>
    <t>Bài</t>
  </si>
  <si>
    <t>1.500 tương tác - 150.000 tiếp cận</t>
  </si>
  <si>
    <t>Postcast</t>
  </si>
  <si>
    <t>Video podcast trò chuyện giữa host và khách mời theo chủ đề chuẩn bị sẵn. Thời lượng: 20-30 phút</t>
  </si>
  <si>
    <t>Podcast</t>
  </si>
  <si>
    <t xml:space="preserve"> Chưa bao gồm phí MC, khách mời, studio (nếu cần)</t>
  </si>
  <si>
    <t>Chi phí ekip MC</t>
  </si>
  <si>
    <t>Bài viết với nội dung chuyên sâu, phỏng vấn (không bao gồm chụp hình) hoặc recap sự kiện, nội dung cơ bản kèm chụp hình. Độ dài tối đa: 1700 - 1800</t>
  </si>
  <si>
    <t>TL;DR</t>
  </si>
  <si>
    <t>Video dọc</t>
  </si>
  <si>
    <t xml:space="preserve">
Video dạng dọc giới thiệu sản phẩm, dịch vụ hay cung cấp thông tin về hoạt động của doanh nghiệp, nhãn hàng dưới dạng slide ảnh hoặc video đơn giản dựa trên source sẵn có do khách hàng cung cấp. Thời lượng 60-120s.</t>
  </si>
  <si>
    <t xml:space="preserve">
Bundle Airing</t>
  </si>
  <si>
    <t>Bundle Airing Advance 
Đăng + broadcast short video
- Cam kết 100.000 view
5 link - 1 TikTok, 1 Zalo Video, 1 Youtube, 1 Facebook, 1 OA 
- TikTok: Zing Studio
- Zalo Video: Chọn 1 trong các kênh FinZ/LifeZ/Zing Studio
- YouTube Z Show
- Reels Facebook Zing
- Broadcast vị trí số 5 OA FinZ/LifeZ</t>
  </si>
  <si>
    <t>100.000 views</t>
  </si>
  <si>
    <t xml:space="preserve">BÁO GIÁ
GÓI HỢP TÁC TRUYỀN THÔNG ADTIMA </t>
  </si>
  <si>
    <t xml:space="preserve">Gói truyền thông Special 2.1
</t>
  </si>
  <si>
    <t>Gói base 09
- Tối ưu hiệu quả truyền thông (views từ hệ sinh thái của Zalo Group).
- Adtima tư vấn, vận hành, nghiệm thu dịch vụ &amp; báo cáo hiệu quả gói truyền thông.</t>
  </si>
  <si>
    <t>Home Top 3 Lifestyle/Kinh doanh/Sức khỏe Znews (#5 PC chuyên trang Lifestyle/Kinh doanh/Sức khỏe và #12 MB của Tạp chí Znews)</t>
  </si>
  <si>
    <t>20.000 views</t>
  </si>
  <si>
    <t>Đăng bài PR trên trang Znews.vn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</si>
</sst>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_-* #,##0_-;\-* #,##0_-;_-* &quot;-&quot;??_-;_-@_-"/>
  </numFmts>
  <fonts count="18" x14ac:knownFonts="1">
    <font>
      <sz val="10"/>
      <color rgb="FF000000"/>
      <name val="Arial"/>
      <scheme val="minor"/>
    </font>
    <font>
      <b/>
      <sz val="11"/>
      <color rgb="FF000000"/>
      <name val="Tahoma"/>
      <family val="2"/>
    </font>
    <font>
      <sz val="10"/>
      <name val="Arial"/>
      <family val="2"/>
    </font>
    <font>
      <i/>
      <sz val="11"/>
      <color rgb="FFEA4335"/>
      <name val="Tahoma"/>
      <family val="2"/>
    </font>
    <font>
      <sz val="11"/>
      <color theme="1"/>
      <name val="Arial"/>
      <family val="2"/>
    </font>
    <font>
      <b/>
      <sz val="11"/>
      <color theme="1"/>
      <name val="Tahoma"/>
      <family val="2"/>
    </font>
    <font>
      <sz val="11"/>
      <color theme="1"/>
      <name val="Tahoma"/>
      <family val="2"/>
    </font>
    <font>
      <b/>
      <sz val="12"/>
      <color theme="0"/>
      <name val="Tahoma"/>
      <family val="2"/>
    </font>
    <font>
      <sz val="12"/>
      <color theme="1"/>
      <name val="Tahoma"/>
      <family val="2"/>
    </font>
    <font>
      <b/>
      <sz val="12"/>
      <color rgb="FFFFFFFF"/>
      <name val="Tahoma"/>
      <family val="2"/>
    </font>
    <font>
      <b/>
      <sz val="12"/>
      <color theme="1"/>
      <name val="Tahoma"/>
      <family val="2"/>
    </font>
    <font>
      <sz val="12"/>
      <color theme="0"/>
      <name val="Tahoma"/>
      <family val="2"/>
    </font>
    <font>
      <sz val="12"/>
      <color rgb="FF000000"/>
      <name val="Tahoma"/>
      <family val="2"/>
    </font>
    <font>
      <i/>
      <sz val="12"/>
      <color rgb="FFFF0000"/>
      <name val="Tahoma"/>
      <family val="2"/>
    </font>
    <font>
      <sz val="10"/>
      <color theme="1"/>
      <name val="Arial"/>
      <family val="2"/>
    </font>
    <font>
      <sz val="12"/>
      <color rgb="FFFFFFFF"/>
      <name val="Tahoma"/>
      <family val="2"/>
    </font>
    <font>
      <u/>
      <sz val="10"/>
      <color theme="10"/>
      <name val="Arial"/>
      <family val="2"/>
      <scheme val="minor"/>
    </font>
    <font>
      <sz val="10"/>
      <color rgb="FF000000"/>
      <name val="Arial"/>
      <family val="2"/>
      <scheme val="minor"/>
    </font>
  </fonts>
  <fills count="10">
    <fill>
      <patternFill patternType="none"/>
    </fill>
    <fill>
      <patternFill patternType="gray125"/>
    </fill>
    <fill>
      <patternFill patternType="solid">
        <fgColor rgb="FFFFA766"/>
        <bgColor rgb="FFFFA766"/>
      </patternFill>
    </fill>
    <fill>
      <patternFill patternType="solid">
        <fgColor rgb="FF083C92"/>
        <bgColor rgb="FF083C92"/>
      </patternFill>
    </fill>
    <fill>
      <patternFill patternType="solid">
        <fgColor rgb="FFF6B26B"/>
        <bgColor rgb="FFF6B26B"/>
      </patternFill>
    </fill>
    <fill>
      <patternFill patternType="solid">
        <fgColor rgb="FFFCE5CD"/>
        <bgColor rgb="FFFCE5CD"/>
      </patternFill>
    </fill>
    <fill>
      <patternFill patternType="solid">
        <fgColor rgb="FFFEE1CC"/>
        <bgColor rgb="FFFEE1CC"/>
      </patternFill>
    </fill>
    <fill>
      <patternFill patternType="solid">
        <fgColor rgb="FF3366CC"/>
        <bgColor rgb="FF3366CC"/>
      </patternFill>
    </fill>
    <fill>
      <patternFill patternType="solid">
        <fgColor rgb="FFCFE2F3"/>
        <bgColor rgb="FFCFE2F3"/>
      </patternFill>
    </fill>
    <fill>
      <patternFill patternType="solid">
        <fgColor theme="4" tint="0.79998168889431442"/>
        <bgColor indexed="64"/>
      </patternFill>
    </fill>
  </fills>
  <borders count="19">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3">
    <xf numFmtId="0" fontId="0" fillId="0" borderId="0"/>
    <xf numFmtId="0" fontId="16" fillId="0" borderId="0" applyNumberFormat="0" applyFill="0" applyBorder="0" applyAlignment="0" applyProtection="0"/>
    <xf numFmtId="164" fontId="17" fillId="0" borderId="0" applyFont="0" applyFill="0" applyBorder="0" applyAlignment="0" applyProtection="0"/>
  </cellStyleXfs>
  <cellXfs count="92">
    <xf numFmtId="0" fontId="0" fillId="0" borderId="0" xfId="0"/>
    <xf numFmtId="0" fontId="4"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xf>
    <xf numFmtId="3" fontId="5" fillId="0" borderId="6" xfId="0" applyNumberFormat="1" applyFont="1" applyBorder="1" applyAlignment="1">
      <alignment horizontal="center" vertical="center" wrapText="1"/>
    </xf>
    <xf numFmtId="0" fontId="6" fillId="0" borderId="0" xfId="0" applyFont="1" applyAlignment="1">
      <alignment vertical="center" wrapText="1"/>
    </xf>
    <xf numFmtId="3" fontId="6" fillId="0" borderId="0" xfId="0" applyNumberFormat="1" applyFont="1" applyAlignment="1">
      <alignment horizontal="center" vertical="center" wrapText="1"/>
    </xf>
    <xf numFmtId="9" fontId="5" fillId="0" borderId="6" xfId="0" applyNumberFormat="1" applyFont="1" applyBorder="1" applyAlignment="1">
      <alignment horizontal="center" vertical="center" wrapText="1"/>
    </xf>
    <xf numFmtId="10" fontId="5" fillId="0" borderId="6" xfId="0" applyNumberFormat="1" applyFont="1" applyBorder="1" applyAlignment="1">
      <alignment horizontal="center" vertical="center" wrapText="1"/>
    </xf>
    <xf numFmtId="0" fontId="8" fillId="3" borderId="6" xfId="0" applyFont="1" applyFill="1" applyBorder="1" applyAlignment="1">
      <alignment vertical="center"/>
    </xf>
    <xf numFmtId="0" fontId="7" fillId="3" borderId="6"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11" fillId="4" borderId="6" xfId="0" applyFont="1" applyFill="1" applyBorder="1" applyAlignment="1">
      <alignment horizontal="left" vertical="center" wrapText="1"/>
    </xf>
    <xf numFmtId="0" fontId="10" fillId="4" borderId="6" xfId="0" applyFont="1" applyFill="1" applyBorder="1" applyAlignment="1">
      <alignment horizontal="center" vertical="center" wrapText="1"/>
    </xf>
    <xf numFmtId="0" fontId="10" fillId="4" borderId="6" xfId="0" applyFont="1" applyFill="1" applyBorder="1" applyAlignment="1">
      <alignment horizontal="left" vertical="center" wrapText="1"/>
    </xf>
    <xf numFmtId="3" fontId="10" fillId="4" borderId="6" xfId="0" applyNumberFormat="1" applyFont="1" applyFill="1" applyBorder="1" applyAlignment="1">
      <alignment horizontal="center" vertical="center" wrapText="1"/>
    </xf>
    <xf numFmtId="3" fontId="12" fillId="4" borderId="6" xfId="0" applyNumberFormat="1" applyFont="1" applyFill="1" applyBorder="1" applyAlignment="1">
      <alignment horizontal="center" vertical="center" wrapText="1"/>
    </xf>
    <xf numFmtId="0" fontId="11" fillId="4" borderId="6" xfId="0" applyFont="1" applyFill="1" applyBorder="1" applyAlignment="1">
      <alignment horizontal="center" vertical="center" wrapText="1"/>
    </xf>
    <xf numFmtId="0" fontId="12" fillId="0" borderId="6" xfId="0" applyFont="1" applyBorder="1" applyAlignment="1">
      <alignment horizontal="left" vertical="center" wrapText="1"/>
    </xf>
    <xf numFmtId="3" fontId="8" fillId="6" borderId="6" xfId="0" applyNumberFormat="1" applyFont="1" applyFill="1" applyBorder="1" applyAlignment="1">
      <alignment horizontal="center" vertical="center" wrapText="1"/>
    </xf>
    <xf numFmtId="9" fontId="8" fillId="6" borderId="6" xfId="0" applyNumberFormat="1" applyFont="1" applyFill="1" applyBorder="1" applyAlignment="1">
      <alignment horizontal="center" vertical="center" wrapText="1"/>
    </xf>
    <xf numFmtId="0" fontId="8" fillId="0" borderId="6" xfId="0" applyFont="1" applyBorder="1" applyAlignment="1">
      <alignment horizontal="center" vertical="center" wrapText="1"/>
    </xf>
    <xf numFmtId="0" fontId="8" fillId="6"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vertical="center"/>
    </xf>
    <xf numFmtId="0" fontId="13" fillId="0" borderId="6" xfId="0" applyFont="1" applyBorder="1" applyAlignment="1">
      <alignment vertical="center" wrapText="1"/>
    </xf>
    <xf numFmtId="0" fontId="9" fillId="7" borderId="6" xfId="0" applyFont="1" applyFill="1" applyBorder="1" applyAlignment="1">
      <alignment horizontal="left" vertical="center" wrapText="1"/>
    </xf>
    <xf numFmtId="0" fontId="15" fillId="7" borderId="6" xfId="0" applyFont="1" applyFill="1" applyBorder="1" applyAlignment="1">
      <alignment horizontal="left" vertical="center" wrapText="1"/>
    </xf>
    <xf numFmtId="0" fontId="9" fillId="7" borderId="6" xfId="0" applyFont="1" applyFill="1" applyBorder="1" applyAlignment="1">
      <alignment horizontal="center" vertical="center" wrapText="1"/>
    </xf>
    <xf numFmtId="3" fontId="7" fillId="7" borderId="6" xfId="0" applyNumberFormat="1" applyFont="1" applyFill="1" applyBorder="1" applyAlignment="1">
      <alignment horizontal="center" vertical="center" wrapText="1"/>
    </xf>
    <xf numFmtId="0" fontId="11" fillId="7" borderId="6" xfId="0" applyFont="1" applyFill="1" applyBorder="1" applyAlignment="1">
      <alignment horizontal="center" vertical="center" wrapText="1"/>
    </xf>
    <xf numFmtId="0" fontId="12" fillId="8" borderId="6" xfId="0" applyFont="1" applyFill="1" applyBorder="1" applyAlignment="1">
      <alignment horizontal="left" vertical="center" wrapText="1"/>
    </xf>
    <xf numFmtId="3" fontId="8" fillId="8" borderId="6" xfId="0" applyNumberFormat="1" applyFont="1" applyFill="1" applyBorder="1" applyAlignment="1">
      <alignment horizontal="center" vertical="center" wrapText="1"/>
    </xf>
    <xf numFmtId="9" fontId="12" fillId="8" borderId="6" xfId="0" applyNumberFormat="1" applyFont="1" applyFill="1" applyBorder="1" applyAlignment="1">
      <alignment horizontal="center" vertical="center" wrapText="1"/>
    </xf>
    <xf numFmtId="0" fontId="8" fillId="8" borderId="6" xfId="0" applyFont="1" applyFill="1" applyBorder="1" applyAlignment="1">
      <alignment horizontal="center" vertical="center" wrapText="1"/>
    </xf>
    <xf numFmtId="0" fontId="12" fillId="8" borderId="6" xfId="0" applyFont="1" applyFill="1" applyBorder="1" applyAlignment="1">
      <alignment horizontal="center" vertical="center" wrapText="1"/>
    </xf>
    <xf numFmtId="3" fontId="12" fillId="8" borderId="6" xfId="0" applyNumberFormat="1" applyFont="1" applyFill="1" applyBorder="1" applyAlignment="1">
      <alignment horizontal="center" vertical="center" wrapText="1"/>
    </xf>
    <xf numFmtId="3" fontId="12" fillId="0" borderId="6" xfId="0" applyNumberFormat="1" applyFont="1" applyBorder="1" applyAlignment="1">
      <alignment horizontal="center" vertical="center" wrapText="1"/>
    </xf>
    <xf numFmtId="0" fontId="0" fillId="0" borderId="0" xfId="0"/>
    <xf numFmtId="0" fontId="16" fillId="0" borderId="6" xfId="1" applyBorder="1" applyAlignment="1">
      <alignment horizontal="center" vertical="center" wrapText="1"/>
    </xf>
    <xf numFmtId="0" fontId="13" fillId="0" borderId="6" xfId="0" quotePrefix="1" applyFont="1" applyBorder="1" applyAlignment="1">
      <alignment horizontal="left" vertical="center" wrapText="1"/>
    </xf>
    <xf numFmtId="0" fontId="12" fillId="0" borderId="5" xfId="0" applyFont="1" applyBorder="1" applyAlignment="1">
      <alignment horizontal="left" wrapText="1"/>
    </xf>
    <xf numFmtId="0" fontId="8" fillId="0" borderId="17" xfId="0" applyFont="1" applyBorder="1" applyAlignment="1">
      <alignment horizontal="left" vertical="center" wrapText="1"/>
    </xf>
    <xf numFmtId="0" fontId="12" fillId="0" borderId="17" xfId="0" applyFont="1" applyBorder="1" applyAlignment="1">
      <alignment horizontal="center" vertical="center"/>
    </xf>
    <xf numFmtId="0" fontId="8" fillId="0" borderId="17" xfId="0" applyFont="1" applyBorder="1" applyAlignment="1">
      <alignment horizontal="center" vertical="center" wrapText="1"/>
    </xf>
    <xf numFmtId="0" fontId="6" fillId="0" borderId="16" xfId="0" applyFont="1" applyBorder="1" applyAlignment="1">
      <alignment horizontal="center" vertical="center"/>
    </xf>
    <xf numFmtId="0" fontId="6" fillId="0" borderId="18" xfId="0" applyFont="1" applyBorder="1" applyAlignment="1">
      <alignment vertical="center" wrapText="1"/>
    </xf>
    <xf numFmtId="0" fontId="6" fillId="0" borderId="18" xfId="0" applyFont="1" applyBorder="1" applyAlignment="1">
      <alignment horizontal="center" vertical="center"/>
    </xf>
    <xf numFmtId="0" fontId="8" fillId="0" borderId="18" xfId="0" applyFont="1" applyBorder="1" applyAlignment="1">
      <alignment horizontal="center" vertical="center" wrapText="1"/>
    </xf>
    <xf numFmtId="0" fontId="8" fillId="0" borderId="8" xfId="0" applyFont="1" applyBorder="1" applyAlignment="1">
      <alignment horizontal="center" vertical="center" wrapText="1"/>
    </xf>
    <xf numFmtId="0" fontId="12" fillId="8" borderId="17" xfId="0" applyFont="1" applyFill="1" applyBorder="1" applyAlignment="1">
      <alignment horizontal="left" vertical="center" wrapText="1"/>
    </xf>
    <xf numFmtId="3" fontId="8" fillId="8" borderId="17" xfId="0" applyNumberFormat="1" applyFont="1" applyFill="1" applyBorder="1" applyAlignment="1">
      <alignment horizontal="center" vertical="center" wrapText="1"/>
    </xf>
    <xf numFmtId="9" fontId="12" fillId="8" borderId="17" xfId="0" applyNumberFormat="1" applyFont="1" applyFill="1" applyBorder="1" applyAlignment="1">
      <alignment horizontal="center" vertical="center" wrapText="1"/>
    </xf>
    <xf numFmtId="0" fontId="12" fillId="8" borderId="17" xfId="0" applyFont="1" applyFill="1" applyBorder="1" applyAlignment="1">
      <alignment horizontal="center" vertical="center" wrapText="1"/>
    </xf>
    <xf numFmtId="0" fontId="8" fillId="8" borderId="17" xfId="0" applyFont="1" applyFill="1" applyBorder="1" applyAlignment="1">
      <alignment horizontal="center" vertical="center" wrapText="1"/>
    </xf>
    <xf numFmtId="3" fontId="12" fillId="8" borderId="17" xfId="0" applyNumberFormat="1" applyFont="1" applyFill="1" applyBorder="1" applyAlignment="1">
      <alignment horizontal="center" vertical="center" wrapText="1"/>
    </xf>
    <xf numFmtId="3" fontId="12" fillId="0" borderId="17" xfId="0" applyNumberFormat="1" applyFont="1" applyBorder="1" applyAlignment="1">
      <alignment horizontal="center" vertical="center" wrapText="1"/>
    </xf>
    <xf numFmtId="0" fontId="13" fillId="0" borderId="17" xfId="0" applyFont="1" applyBorder="1" applyAlignment="1">
      <alignment horizontal="left" vertical="center" wrapText="1"/>
    </xf>
    <xf numFmtId="0" fontId="6" fillId="0" borderId="16" xfId="0" applyFont="1" applyBorder="1" applyAlignment="1">
      <alignment vertical="center"/>
    </xf>
    <xf numFmtId="0" fontId="6" fillId="9" borderId="16" xfId="0" applyFont="1" applyFill="1" applyBorder="1" applyAlignment="1">
      <alignment vertical="center" wrapText="1"/>
    </xf>
    <xf numFmtId="0" fontId="6" fillId="9" borderId="16" xfId="0" applyFont="1" applyFill="1" applyBorder="1" applyAlignment="1">
      <alignment vertical="center"/>
    </xf>
    <xf numFmtId="165" fontId="6" fillId="9" borderId="16" xfId="2" applyNumberFormat="1" applyFont="1" applyFill="1" applyBorder="1" applyAlignment="1">
      <alignment vertical="center"/>
    </xf>
    <xf numFmtId="9" fontId="6" fillId="9" borderId="16" xfId="0" applyNumberFormat="1" applyFont="1" applyFill="1" applyBorder="1" applyAlignment="1">
      <alignment vertical="center"/>
    </xf>
    <xf numFmtId="165" fontId="6" fillId="9" borderId="16" xfId="0" applyNumberFormat="1" applyFont="1" applyFill="1" applyBorder="1" applyAlignment="1">
      <alignment vertical="center"/>
    </xf>
    <xf numFmtId="0" fontId="6" fillId="9" borderId="16" xfId="0" applyFont="1" applyFill="1" applyBorder="1" applyAlignment="1">
      <alignment horizontal="center" vertical="center"/>
    </xf>
    <xf numFmtId="0" fontId="10" fillId="8" borderId="16" xfId="0" applyFont="1" applyFill="1" applyBorder="1" applyAlignment="1">
      <alignment horizontal="center" vertical="center" wrapText="1"/>
    </xf>
    <xf numFmtId="0" fontId="2" fillId="0" borderId="16" xfId="0" applyFont="1" applyBorder="1" applyAlignment="1">
      <alignment vertical="center"/>
    </xf>
    <xf numFmtId="0" fontId="7" fillId="3" borderId="4" xfId="0" applyFont="1" applyFill="1" applyBorder="1" applyAlignment="1">
      <alignment horizontal="center" vertical="center" wrapText="1"/>
    </xf>
    <xf numFmtId="0" fontId="2" fillId="0" borderId="5" xfId="0" applyFont="1" applyBorder="1"/>
    <xf numFmtId="0" fontId="10" fillId="4" borderId="4" xfId="0" applyFont="1" applyFill="1" applyBorder="1" applyAlignment="1">
      <alignment horizontal="left" vertical="center" wrapText="1"/>
    </xf>
    <xf numFmtId="0" fontId="2" fillId="0" borderId="9" xfId="0" applyFont="1" applyBorder="1"/>
    <xf numFmtId="0" fontId="10" fillId="5" borderId="12" xfId="0" applyFont="1" applyFill="1" applyBorder="1" applyAlignment="1">
      <alignment horizontal="center" vertical="center" wrapText="1"/>
    </xf>
    <xf numFmtId="0" fontId="2" fillId="0" borderId="13" xfId="0" applyFont="1" applyBorder="1"/>
    <xf numFmtId="0" fontId="10" fillId="5" borderId="14" xfId="0" applyFont="1" applyFill="1" applyBorder="1" applyAlignment="1">
      <alignment horizontal="center" vertical="center" wrapText="1"/>
    </xf>
    <xf numFmtId="0" fontId="2" fillId="0" borderId="15" xfId="0" applyFont="1" applyBorder="1"/>
    <xf numFmtId="0" fontId="2" fillId="0" borderId="10" xfId="0" applyFont="1" applyBorder="1"/>
    <xf numFmtId="0" fontId="2" fillId="0" borderId="11" xfId="0" applyFont="1" applyBorder="1"/>
    <xf numFmtId="0" fontId="9" fillId="7" borderId="4" xfId="0" applyFont="1" applyFill="1" applyBorder="1" applyAlignment="1">
      <alignment horizontal="left" vertical="center"/>
    </xf>
    <xf numFmtId="0" fontId="7" fillId="3" borderId="7" xfId="0" applyFont="1" applyFill="1" applyBorder="1" applyAlignment="1">
      <alignment horizontal="center" vertical="center" wrapText="1"/>
    </xf>
    <xf numFmtId="0" fontId="2" fillId="0" borderId="8" xfId="0" applyFont="1" applyBorder="1"/>
    <xf numFmtId="0" fontId="10" fillId="8"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0" xfId="0" applyFont="1" applyAlignment="1">
      <alignment horizontal="left" vertical="center" wrapText="1"/>
    </xf>
    <xf numFmtId="0" fontId="0" fillId="0" borderId="0" xfId="0"/>
    <xf numFmtId="0" fontId="5" fillId="0" borderId="4" xfId="0" applyFont="1" applyBorder="1" applyAlignment="1">
      <alignment horizontal="center" vertical="center" wrapText="1"/>
    </xf>
    <xf numFmtId="0" fontId="6" fillId="0" borderId="0" xfId="0" applyFont="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znews.vn/ajinomoto-no-luc-vi-suc-khoe-va-hanh-phuc-cua-nguoi-viet-nam-post1493673.html" TargetMode="External"/><Relationship Id="rId1" Type="http://schemas.openxmlformats.org/officeDocument/2006/relationships/hyperlink" Target="https://znews.vn/tong-giam-doc-yamaha-motor-vn-chung-toi-chon-khac-biet-de-doi-dau-post147893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9"/>
  <sheetViews>
    <sheetView showGridLines="0" tabSelected="1" workbookViewId="0">
      <selection activeCell="C20" sqref="C20"/>
    </sheetView>
  </sheetViews>
  <sheetFormatPr defaultColWidth="12.5703125" defaultRowHeight="15" customHeight="1" x14ac:dyDescent="0.2"/>
  <cols>
    <col min="1" max="1" width="16.5703125" customWidth="1"/>
    <col min="2" max="2" width="19.140625" customWidth="1"/>
    <col min="3" max="3" width="75.140625" customWidth="1"/>
    <col min="4" max="4" width="23.42578125" customWidth="1"/>
    <col min="5" max="5" width="15.5703125" customWidth="1"/>
    <col min="6" max="6" width="10.140625" customWidth="1"/>
    <col min="7" max="7" width="18.140625" customWidth="1"/>
    <col min="8" max="8" width="39.42578125" customWidth="1"/>
    <col min="9" max="9" width="17.42578125" customWidth="1"/>
    <col min="11" max="11" width="15.42578125" customWidth="1"/>
    <col min="12" max="12" width="28.5703125" customWidth="1"/>
    <col min="13" max="13" width="17.42578125" customWidth="1"/>
    <col min="14" max="14" width="12.140625" customWidth="1"/>
    <col min="15" max="15" width="23.140625" customWidth="1"/>
    <col min="16" max="16" width="16.5703125" customWidth="1"/>
    <col min="17" max="17" width="13.42578125" customWidth="1"/>
    <col min="18" max="18" width="19" customWidth="1"/>
    <col min="19" max="19" width="16.140625" customWidth="1"/>
    <col min="20" max="20" width="12.140625" customWidth="1"/>
    <col min="21" max="21" width="10.140625" customWidth="1"/>
    <col min="22" max="23" width="18.42578125" customWidth="1"/>
    <col min="24" max="24" width="28.140625" customWidth="1"/>
    <col min="25" max="25" width="65" customWidth="1"/>
    <col min="26" max="27" width="9.5703125" customWidth="1"/>
    <col min="28" max="29" width="14.42578125" customWidth="1"/>
  </cols>
  <sheetData>
    <row r="1" spans="1:29" ht="54" customHeight="1" x14ac:dyDescent="0.2">
      <c r="A1" s="85" t="s">
        <v>59</v>
      </c>
      <c r="B1" s="86"/>
      <c r="C1" s="87"/>
      <c r="D1" s="88"/>
      <c r="E1" s="89"/>
      <c r="F1" s="89"/>
      <c r="G1" s="89"/>
      <c r="H1" s="1"/>
      <c r="I1" s="2"/>
      <c r="J1" s="2"/>
      <c r="K1" s="2"/>
      <c r="L1" s="3"/>
      <c r="M1" s="3"/>
      <c r="N1" s="4"/>
      <c r="O1" s="4"/>
      <c r="P1" s="4"/>
      <c r="Q1" s="4"/>
      <c r="R1" s="4"/>
      <c r="S1" s="4"/>
      <c r="T1" s="4"/>
      <c r="U1" s="4"/>
      <c r="V1" s="4"/>
      <c r="W1" s="4"/>
      <c r="X1" s="4"/>
      <c r="Y1" s="4"/>
      <c r="Z1" s="5"/>
      <c r="AA1" s="5"/>
      <c r="AB1" s="1"/>
      <c r="AC1" s="1"/>
    </row>
    <row r="2" spans="1:29" ht="21" customHeight="1" x14ac:dyDescent="0.2">
      <c r="A2" s="90" t="s">
        <v>0</v>
      </c>
      <c r="B2" s="72"/>
      <c r="C2" s="6">
        <f>V10+V16</f>
        <v>125000000</v>
      </c>
      <c r="D2" s="7"/>
      <c r="E2" s="91"/>
      <c r="F2" s="89"/>
      <c r="G2" s="89"/>
      <c r="H2" s="89"/>
      <c r="I2" s="4"/>
      <c r="J2" s="4"/>
      <c r="K2" s="4"/>
      <c r="L2" s="4"/>
      <c r="M2" s="4"/>
      <c r="N2" s="4"/>
      <c r="O2" s="4"/>
      <c r="P2" s="4"/>
      <c r="Q2" s="4"/>
      <c r="R2" s="4"/>
      <c r="S2" s="4"/>
      <c r="T2" s="4"/>
      <c r="U2" s="4"/>
      <c r="V2" s="4"/>
      <c r="W2" s="4"/>
      <c r="X2" s="4"/>
      <c r="Y2" s="4"/>
      <c r="Z2" s="5"/>
      <c r="AA2" s="5"/>
      <c r="AB2" s="1"/>
      <c r="AC2" s="1"/>
    </row>
    <row r="3" spans="1:29" ht="21" customHeight="1" x14ac:dyDescent="0.2">
      <c r="A3" s="90" t="s">
        <v>1</v>
      </c>
      <c r="B3" s="72"/>
      <c r="C3" s="6">
        <f>W10+W16</f>
        <v>108670000</v>
      </c>
      <c r="D3" s="7"/>
      <c r="E3" s="89"/>
      <c r="F3" s="89"/>
      <c r="G3" s="89"/>
      <c r="H3" s="89"/>
      <c r="I3" s="8"/>
      <c r="J3" s="4"/>
      <c r="K3" s="4"/>
      <c r="L3" s="4"/>
      <c r="M3" s="4"/>
      <c r="N3" s="4"/>
      <c r="O3" s="4"/>
      <c r="P3" s="4"/>
      <c r="Q3" s="4"/>
      <c r="R3" s="4"/>
      <c r="S3" s="4"/>
      <c r="T3" s="4"/>
      <c r="U3" s="4"/>
      <c r="V3" s="4"/>
      <c r="W3" s="4"/>
      <c r="X3" s="4"/>
      <c r="Y3" s="4"/>
      <c r="Z3" s="5"/>
      <c r="AA3" s="5"/>
      <c r="AB3" s="1"/>
      <c r="AC3" s="1"/>
    </row>
    <row r="4" spans="1:29" ht="21" customHeight="1" x14ac:dyDescent="0.2">
      <c r="A4" s="90" t="s">
        <v>2</v>
      </c>
      <c r="B4" s="72"/>
      <c r="C4" s="9">
        <f>C2/C3</f>
        <v>1.1502714640655194</v>
      </c>
      <c r="D4" s="7"/>
      <c r="E4" s="89"/>
      <c r="F4" s="89"/>
      <c r="G4" s="89"/>
      <c r="H4" s="89"/>
      <c r="I4" s="4"/>
      <c r="J4" s="4"/>
      <c r="K4" s="4"/>
      <c r="L4" s="4"/>
      <c r="M4" s="4"/>
      <c r="N4" s="4"/>
      <c r="O4" s="4"/>
      <c r="P4" s="4"/>
      <c r="Q4" s="4"/>
      <c r="R4" s="4"/>
      <c r="S4" s="4"/>
      <c r="T4" s="4"/>
      <c r="U4" s="4"/>
      <c r="V4" s="4"/>
      <c r="W4" s="4"/>
      <c r="X4" s="4"/>
      <c r="Y4" s="4"/>
      <c r="Z4" s="5"/>
      <c r="AA4" s="5"/>
      <c r="AB4" s="1"/>
      <c r="AC4" s="1"/>
    </row>
    <row r="5" spans="1:29" ht="27.75" customHeight="1" x14ac:dyDescent="0.2">
      <c r="A5" s="90" t="s">
        <v>3</v>
      </c>
      <c r="B5" s="72"/>
      <c r="C5" s="6">
        <f>SUM(X16)</f>
        <v>0</v>
      </c>
      <c r="D5" s="7"/>
      <c r="E5" s="89"/>
      <c r="F5" s="89"/>
      <c r="G5" s="89"/>
      <c r="H5" s="89"/>
      <c r="I5" s="4"/>
      <c r="J5" s="4"/>
      <c r="K5" s="4"/>
      <c r="L5" s="4"/>
      <c r="M5" s="4"/>
      <c r="N5" s="4"/>
      <c r="O5" s="4"/>
      <c r="P5" s="4"/>
      <c r="Q5" s="4"/>
      <c r="R5" s="4"/>
      <c r="S5" s="4"/>
      <c r="T5" s="4"/>
      <c r="U5" s="4"/>
      <c r="V5" s="4"/>
      <c r="W5" s="4"/>
      <c r="X5" s="4"/>
      <c r="Y5" s="4"/>
      <c r="Z5" s="5"/>
      <c r="AA5" s="5"/>
      <c r="AB5" s="1"/>
      <c r="AC5" s="1"/>
    </row>
    <row r="6" spans="1:29" ht="42.75" customHeight="1" x14ac:dyDescent="0.2">
      <c r="A6" s="90" t="s">
        <v>4</v>
      </c>
      <c r="B6" s="72"/>
      <c r="C6" s="10">
        <f>SUM(V13:V13)/C3</f>
        <v>9.2021717125241556E-2</v>
      </c>
      <c r="D6" s="7"/>
      <c r="E6" s="4"/>
      <c r="F6" s="4"/>
      <c r="G6" s="4"/>
      <c r="H6" s="4"/>
      <c r="I6" s="4"/>
      <c r="J6" s="4"/>
      <c r="K6" s="4"/>
      <c r="L6" s="4"/>
      <c r="M6" s="4"/>
      <c r="N6" s="4"/>
      <c r="O6" s="4"/>
      <c r="P6" s="4"/>
      <c r="Q6" s="4"/>
      <c r="R6" s="4"/>
      <c r="S6" s="4"/>
      <c r="T6" s="4"/>
      <c r="U6" s="4"/>
      <c r="V6" s="4"/>
      <c r="W6" s="4"/>
      <c r="X6" s="4"/>
      <c r="Y6" s="4"/>
      <c r="Z6" s="5"/>
      <c r="AA6" s="5"/>
      <c r="AB6" s="1"/>
      <c r="AC6" s="1"/>
    </row>
    <row r="7" spans="1:29" ht="42.75" customHeight="1" x14ac:dyDescent="0.2">
      <c r="A7" s="4"/>
      <c r="B7" s="4"/>
      <c r="C7" s="4"/>
      <c r="D7" s="7"/>
      <c r="E7" s="4"/>
      <c r="F7" s="4"/>
      <c r="G7" s="4"/>
      <c r="H7" s="4"/>
      <c r="I7" s="4"/>
      <c r="J7" s="4"/>
      <c r="K7" s="4"/>
      <c r="L7" s="4"/>
      <c r="M7" s="4"/>
      <c r="N7" s="4"/>
      <c r="O7" s="4"/>
      <c r="P7" s="4"/>
      <c r="Q7" s="4"/>
      <c r="R7" s="4"/>
      <c r="S7" s="4"/>
      <c r="T7" s="4"/>
      <c r="U7" s="4"/>
      <c r="V7" s="4"/>
      <c r="W7" s="4"/>
      <c r="X7" s="4"/>
      <c r="Y7" s="4"/>
      <c r="Z7" s="5"/>
      <c r="AA7" s="5"/>
      <c r="AB7" s="1"/>
      <c r="AC7" s="1"/>
    </row>
    <row r="8" spans="1:29" ht="34.5" customHeight="1" x14ac:dyDescent="0.2">
      <c r="A8" s="82" t="s">
        <v>5</v>
      </c>
      <c r="B8" s="83"/>
      <c r="C8" s="71" t="s">
        <v>6</v>
      </c>
      <c r="D8" s="72"/>
      <c r="E8" s="71" t="s">
        <v>7</v>
      </c>
      <c r="F8" s="74"/>
      <c r="G8" s="74"/>
      <c r="H8" s="74"/>
      <c r="I8" s="74"/>
      <c r="J8" s="74"/>
      <c r="K8" s="74"/>
      <c r="L8" s="74"/>
      <c r="M8" s="74"/>
      <c r="N8" s="74"/>
      <c r="O8" s="72"/>
      <c r="P8" s="11"/>
      <c r="Q8" s="11"/>
      <c r="R8" s="11"/>
      <c r="S8" s="71" t="s">
        <v>8</v>
      </c>
      <c r="T8" s="74"/>
      <c r="U8" s="74"/>
      <c r="V8" s="74"/>
      <c r="W8" s="72"/>
      <c r="X8" s="71" t="s">
        <v>9</v>
      </c>
      <c r="Y8" s="72"/>
      <c r="Z8" s="5"/>
      <c r="AA8" s="5"/>
      <c r="AB8" s="1"/>
      <c r="AC8" s="1"/>
    </row>
    <row r="9" spans="1:29" ht="43.5" customHeight="1" x14ac:dyDescent="0.2">
      <c r="A9" s="79"/>
      <c r="B9" s="80"/>
      <c r="C9" s="12" t="s">
        <v>10</v>
      </c>
      <c r="D9" s="12" t="s">
        <v>11</v>
      </c>
      <c r="E9" s="12" t="s">
        <v>12</v>
      </c>
      <c r="F9" s="13" t="s">
        <v>13</v>
      </c>
      <c r="G9" s="12" t="s">
        <v>14</v>
      </c>
      <c r="H9" s="12" t="s">
        <v>15</v>
      </c>
      <c r="I9" s="12" t="s">
        <v>16</v>
      </c>
      <c r="J9" s="12" t="s">
        <v>17</v>
      </c>
      <c r="K9" s="12" t="s">
        <v>18</v>
      </c>
      <c r="L9" s="12" t="s">
        <v>19</v>
      </c>
      <c r="M9" s="12" t="s">
        <v>20</v>
      </c>
      <c r="N9" s="12" t="s">
        <v>21</v>
      </c>
      <c r="O9" s="12" t="s">
        <v>22</v>
      </c>
      <c r="P9" s="12" t="s">
        <v>23</v>
      </c>
      <c r="Q9" s="12" t="s">
        <v>24</v>
      </c>
      <c r="R9" s="12" t="s">
        <v>25</v>
      </c>
      <c r="S9" s="12" t="s">
        <v>26</v>
      </c>
      <c r="T9" s="12" t="s">
        <v>27</v>
      </c>
      <c r="U9" s="12" t="s">
        <v>28</v>
      </c>
      <c r="V9" s="12" t="s">
        <v>29</v>
      </c>
      <c r="W9" s="12" t="s">
        <v>30</v>
      </c>
      <c r="X9" s="12" t="s">
        <v>31</v>
      </c>
      <c r="Y9" s="12" t="s">
        <v>32</v>
      </c>
      <c r="Z9" s="5"/>
      <c r="AA9" s="5"/>
      <c r="AB9" s="1"/>
      <c r="AC9" s="1"/>
    </row>
    <row r="10" spans="1:29" ht="33.75" customHeight="1" x14ac:dyDescent="0.2">
      <c r="A10" s="73" t="s">
        <v>33</v>
      </c>
      <c r="B10" s="74"/>
      <c r="C10" s="72"/>
      <c r="D10" s="14"/>
      <c r="E10" s="15"/>
      <c r="F10" s="15"/>
      <c r="G10" s="15"/>
      <c r="H10" s="15"/>
      <c r="I10" s="15"/>
      <c r="J10" s="15"/>
      <c r="K10" s="15"/>
      <c r="L10" s="15"/>
      <c r="M10" s="15"/>
      <c r="N10" s="15"/>
      <c r="O10" s="15"/>
      <c r="P10" s="14"/>
      <c r="Q10" s="14"/>
      <c r="R10" s="14"/>
      <c r="S10" s="14"/>
      <c r="T10" s="16">
        <f>SUM(T11:T14)</f>
        <v>4</v>
      </c>
      <c r="U10" s="17"/>
      <c r="V10" s="18">
        <f>SUM(V11:V15)</f>
        <v>65000000</v>
      </c>
      <c r="W10" s="18">
        <f>SUM(W11:W15)</f>
        <v>65000000</v>
      </c>
      <c r="X10" s="19"/>
      <c r="Y10" s="20"/>
      <c r="Z10" s="5"/>
      <c r="AA10" s="5"/>
      <c r="AB10" s="1"/>
      <c r="AC10" s="1"/>
    </row>
    <row r="11" spans="1:29" ht="42.95" customHeight="1" x14ac:dyDescent="0.2">
      <c r="A11" s="75" t="s">
        <v>41</v>
      </c>
      <c r="B11" s="76"/>
      <c r="C11" s="21" t="s">
        <v>52</v>
      </c>
      <c r="D11" s="43" t="s">
        <v>53</v>
      </c>
      <c r="E11" s="22">
        <v>10000000</v>
      </c>
      <c r="F11" s="23">
        <v>0</v>
      </c>
      <c r="G11" s="22">
        <f t="shared" ref="G11:G12" si="0">E11*(1-F11)</f>
        <v>10000000</v>
      </c>
      <c r="H11" s="24" t="s">
        <v>35</v>
      </c>
      <c r="I11" s="24" t="s">
        <v>35</v>
      </c>
      <c r="J11" s="24" t="s">
        <v>35</v>
      </c>
      <c r="K11" s="24" t="s">
        <v>35</v>
      </c>
      <c r="L11" s="24" t="s">
        <v>35</v>
      </c>
      <c r="M11" s="24" t="s">
        <v>35</v>
      </c>
      <c r="N11" s="24" t="s">
        <v>35</v>
      </c>
      <c r="O11" s="24" t="s">
        <v>35</v>
      </c>
      <c r="P11" s="24" t="s">
        <v>35</v>
      </c>
      <c r="Q11" s="24" t="s">
        <v>35</v>
      </c>
      <c r="R11" s="24" t="s">
        <v>35</v>
      </c>
      <c r="S11" s="22">
        <f>G11</f>
        <v>10000000</v>
      </c>
      <c r="T11" s="25">
        <v>1</v>
      </c>
      <c r="U11" s="25" t="s">
        <v>36</v>
      </c>
      <c r="V11" s="22">
        <f>T11*E11</f>
        <v>10000000</v>
      </c>
      <c r="W11" s="22">
        <f t="shared" ref="W11:W15" si="1">S11*T11</f>
        <v>10000000</v>
      </c>
      <c r="X11" s="26"/>
      <c r="Y11" s="27" t="s">
        <v>42</v>
      </c>
      <c r="Z11" s="5"/>
      <c r="AA11" s="5"/>
      <c r="AB11" s="1"/>
      <c r="AC11" s="1"/>
    </row>
    <row r="12" spans="1:29" s="42" customFormat="1" ht="42.95" customHeight="1" x14ac:dyDescent="0.2">
      <c r="A12" s="75" t="s">
        <v>47</v>
      </c>
      <c r="B12" s="76"/>
      <c r="C12" s="21" t="s">
        <v>48</v>
      </c>
      <c r="D12" s="43" t="s">
        <v>49</v>
      </c>
      <c r="E12" s="22">
        <v>40000000</v>
      </c>
      <c r="F12" s="23">
        <v>0</v>
      </c>
      <c r="G12" s="22">
        <f t="shared" si="0"/>
        <v>40000000</v>
      </c>
      <c r="H12" s="24" t="s">
        <v>35</v>
      </c>
      <c r="I12" s="24" t="s">
        <v>35</v>
      </c>
      <c r="J12" s="24" t="s">
        <v>35</v>
      </c>
      <c r="K12" s="24" t="s">
        <v>35</v>
      </c>
      <c r="L12" s="24" t="s">
        <v>35</v>
      </c>
      <c r="M12" s="24" t="s">
        <v>35</v>
      </c>
      <c r="N12" s="24" t="s">
        <v>35</v>
      </c>
      <c r="O12" s="24" t="s">
        <v>35</v>
      </c>
      <c r="P12" s="24" t="s">
        <v>35</v>
      </c>
      <c r="Q12" s="24" t="s">
        <v>35</v>
      </c>
      <c r="R12" s="24" t="s">
        <v>35</v>
      </c>
      <c r="S12" s="22">
        <f>G12</f>
        <v>40000000</v>
      </c>
      <c r="T12" s="25">
        <v>1</v>
      </c>
      <c r="U12" s="25" t="s">
        <v>36</v>
      </c>
      <c r="V12" s="22">
        <f>T12*E12</f>
        <v>40000000</v>
      </c>
      <c r="W12" s="22">
        <f t="shared" si="1"/>
        <v>40000000</v>
      </c>
      <c r="X12" s="26"/>
      <c r="Y12" s="44" t="s">
        <v>50</v>
      </c>
      <c r="Z12" s="5"/>
      <c r="AA12" s="5"/>
      <c r="AB12" s="1"/>
      <c r="AC12" s="1"/>
    </row>
    <row r="13" spans="1:29" ht="39" customHeight="1" x14ac:dyDescent="0.2">
      <c r="A13" s="77" t="s">
        <v>37</v>
      </c>
      <c r="B13" s="78"/>
      <c r="C13" s="21" t="s">
        <v>51</v>
      </c>
      <c r="D13" s="24" t="s">
        <v>38</v>
      </c>
      <c r="E13" s="22">
        <f>9000000/0.9</f>
        <v>10000000</v>
      </c>
      <c r="F13" s="23">
        <v>0</v>
      </c>
      <c r="G13" s="22">
        <f>E13*(1-F13)</f>
        <v>10000000</v>
      </c>
      <c r="H13" s="24" t="s">
        <v>35</v>
      </c>
      <c r="I13" s="24" t="s">
        <v>35</v>
      </c>
      <c r="J13" s="24" t="s">
        <v>35</v>
      </c>
      <c r="K13" s="24" t="s">
        <v>35</v>
      </c>
      <c r="L13" s="24" t="s">
        <v>35</v>
      </c>
      <c r="M13" s="24" t="s">
        <v>35</v>
      </c>
      <c r="N13" s="24" t="s">
        <v>35</v>
      </c>
      <c r="O13" s="24" t="s">
        <v>35</v>
      </c>
      <c r="P13" s="24" t="s">
        <v>35</v>
      </c>
      <c r="Q13" s="24" t="s">
        <v>35</v>
      </c>
      <c r="R13" s="24" t="s">
        <v>35</v>
      </c>
      <c r="S13" s="22">
        <f>G13</f>
        <v>10000000</v>
      </c>
      <c r="T13" s="25">
        <v>1</v>
      </c>
      <c r="U13" s="25" t="s">
        <v>38</v>
      </c>
      <c r="V13" s="22">
        <f>T13*E13</f>
        <v>10000000</v>
      </c>
      <c r="W13" s="22">
        <f t="shared" si="1"/>
        <v>10000000</v>
      </c>
      <c r="X13" s="26"/>
      <c r="Y13" s="27"/>
      <c r="Z13" s="5"/>
      <c r="AA13" s="5"/>
      <c r="AB13" s="1"/>
      <c r="AC13" s="1"/>
    </row>
    <row r="14" spans="1:29" ht="39" customHeight="1" x14ac:dyDescent="0.2">
      <c r="A14" s="79"/>
      <c r="B14" s="80"/>
      <c r="C14" s="21" t="s">
        <v>39</v>
      </c>
      <c r="D14" s="24" t="s">
        <v>38</v>
      </c>
      <c r="E14" s="22">
        <f>SUM(E13:E13)*0.2</f>
        <v>2000000</v>
      </c>
      <c r="F14" s="23">
        <v>0</v>
      </c>
      <c r="G14" s="22">
        <f>E14*(1-F14)</f>
        <v>2000000</v>
      </c>
      <c r="H14" s="24" t="s">
        <v>35</v>
      </c>
      <c r="I14" s="24" t="s">
        <v>35</v>
      </c>
      <c r="J14" s="24" t="s">
        <v>35</v>
      </c>
      <c r="K14" s="24" t="s">
        <v>35</v>
      </c>
      <c r="L14" s="24" t="s">
        <v>35</v>
      </c>
      <c r="M14" s="24" t="s">
        <v>35</v>
      </c>
      <c r="N14" s="24" t="s">
        <v>35</v>
      </c>
      <c r="O14" s="24" t="s">
        <v>35</v>
      </c>
      <c r="P14" s="24" t="s">
        <v>35</v>
      </c>
      <c r="Q14" s="24" t="s">
        <v>35</v>
      </c>
      <c r="R14" s="24" t="s">
        <v>35</v>
      </c>
      <c r="S14" s="22">
        <f>G14</f>
        <v>2000000</v>
      </c>
      <c r="T14" s="25">
        <v>1</v>
      </c>
      <c r="U14" s="25" t="s">
        <v>38</v>
      </c>
      <c r="V14" s="22">
        <f>T14*E14</f>
        <v>2000000</v>
      </c>
      <c r="W14" s="22">
        <f t="shared" si="1"/>
        <v>2000000</v>
      </c>
      <c r="X14" s="28"/>
      <c r="Y14" s="29"/>
      <c r="Z14" s="5"/>
      <c r="AA14" s="5"/>
      <c r="AB14" s="1"/>
      <c r="AC14" s="1"/>
    </row>
    <row r="15" spans="1:29" s="42" customFormat="1" ht="68.099999999999994" customHeight="1" x14ac:dyDescent="0.2">
      <c r="A15" s="75" t="s">
        <v>54</v>
      </c>
      <c r="B15" s="76"/>
      <c r="C15" s="45" t="s">
        <v>55</v>
      </c>
      <c r="D15" s="24" t="s">
        <v>34</v>
      </c>
      <c r="E15" s="22">
        <v>3000000</v>
      </c>
      <c r="F15" s="23">
        <v>0</v>
      </c>
      <c r="G15" s="22">
        <f>E15*(1-F15)</f>
        <v>3000000</v>
      </c>
      <c r="H15" s="24" t="s">
        <v>35</v>
      </c>
      <c r="I15" s="24" t="s">
        <v>35</v>
      </c>
      <c r="J15" s="24" t="s">
        <v>35</v>
      </c>
      <c r="K15" s="24" t="s">
        <v>35</v>
      </c>
      <c r="L15" s="24" t="s">
        <v>35</v>
      </c>
      <c r="M15" s="24" t="s">
        <v>35</v>
      </c>
      <c r="N15" s="24" t="s">
        <v>35</v>
      </c>
      <c r="O15" s="24" t="s">
        <v>35</v>
      </c>
      <c r="P15" s="24" t="s">
        <v>35</v>
      </c>
      <c r="Q15" s="24" t="s">
        <v>35</v>
      </c>
      <c r="R15" s="24" t="s">
        <v>35</v>
      </c>
      <c r="S15" s="22">
        <f>G15</f>
        <v>3000000</v>
      </c>
      <c r="T15" s="25">
        <v>1</v>
      </c>
      <c r="U15" s="25" t="s">
        <v>34</v>
      </c>
      <c r="V15" s="22">
        <f>T15*E15</f>
        <v>3000000</v>
      </c>
      <c r="W15" s="22">
        <f t="shared" si="1"/>
        <v>3000000</v>
      </c>
      <c r="X15" s="28"/>
      <c r="Y15" s="29"/>
      <c r="Z15" s="5"/>
      <c r="AA15" s="5"/>
      <c r="AB15" s="1"/>
      <c r="AC15" s="1"/>
    </row>
    <row r="16" spans="1:29" ht="30" customHeight="1" x14ac:dyDescent="0.2">
      <c r="A16" s="81" t="s">
        <v>40</v>
      </c>
      <c r="B16" s="74"/>
      <c r="C16" s="72"/>
      <c r="D16" s="30"/>
      <c r="E16" s="31"/>
      <c r="F16" s="31"/>
      <c r="G16" s="31"/>
      <c r="H16" s="31"/>
      <c r="I16" s="31"/>
      <c r="J16" s="31"/>
      <c r="K16" s="31"/>
      <c r="L16" s="31"/>
      <c r="M16" s="31"/>
      <c r="N16" s="31"/>
      <c r="O16" s="31"/>
      <c r="P16" s="30"/>
      <c r="Q16" s="30"/>
      <c r="R16" s="30"/>
      <c r="S16" s="30"/>
      <c r="T16" s="32">
        <f>SUM(T17)</f>
        <v>1</v>
      </c>
      <c r="U16" s="30"/>
      <c r="V16" s="33">
        <f>SUM(V17:V19)</f>
        <v>60000000</v>
      </c>
      <c r="W16" s="33">
        <f>SUM(W17:W19)</f>
        <v>43670000</v>
      </c>
      <c r="X16" s="33"/>
      <c r="Y16" s="34"/>
      <c r="Z16" s="5"/>
      <c r="AA16" s="5"/>
      <c r="AB16" s="1"/>
      <c r="AC16" s="1"/>
    </row>
    <row r="17" spans="1:29" ht="113.25" customHeight="1" x14ac:dyDescent="0.2">
      <c r="A17" s="84" t="s">
        <v>43</v>
      </c>
      <c r="B17" s="83"/>
      <c r="C17" s="46" t="s">
        <v>44</v>
      </c>
      <c r="D17" s="47" t="s">
        <v>45</v>
      </c>
      <c r="E17" s="48" t="s">
        <v>35</v>
      </c>
      <c r="F17" s="48" t="s">
        <v>35</v>
      </c>
      <c r="G17" s="24" t="s">
        <v>35</v>
      </c>
      <c r="H17" s="35" t="s">
        <v>35</v>
      </c>
      <c r="I17" s="35" t="s">
        <v>35</v>
      </c>
      <c r="J17" s="35" t="s">
        <v>35</v>
      </c>
      <c r="K17" s="35" t="s">
        <v>35</v>
      </c>
      <c r="L17" s="35" t="s">
        <v>35</v>
      </c>
      <c r="M17" s="35" t="s">
        <v>35</v>
      </c>
      <c r="N17" s="35" t="s">
        <v>35</v>
      </c>
      <c r="O17" s="35" t="s">
        <v>35</v>
      </c>
      <c r="P17" s="36">
        <v>10000000</v>
      </c>
      <c r="Q17" s="37">
        <v>0</v>
      </c>
      <c r="R17" s="36">
        <v>10000000</v>
      </c>
      <c r="S17" s="36">
        <f>R17</f>
        <v>10000000</v>
      </c>
      <c r="T17" s="39">
        <v>1</v>
      </c>
      <c r="U17" s="38" t="s">
        <v>45</v>
      </c>
      <c r="V17" s="36">
        <f>S17</f>
        <v>10000000</v>
      </c>
      <c r="W17" s="40">
        <f>V17</f>
        <v>10000000</v>
      </c>
      <c r="X17" s="41" t="s">
        <v>46</v>
      </c>
      <c r="Y17" s="27"/>
      <c r="Z17" s="5"/>
      <c r="AA17" s="5"/>
      <c r="AB17" s="1"/>
      <c r="AC17" s="1"/>
    </row>
    <row r="18" spans="1:29" ht="177.6" customHeight="1" x14ac:dyDescent="0.2">
      <c r="A18" s="69" t="s">
        <v>56</v>
      </c>
      <c r="B18" s="70"/>
      <c r="C18" s="50" t="s">
        <v>57</v>
      </c>
      <c r="D18" s="51" t="s">
        <v>38</v>
      </c>
      <c r="E18" s="52" t="s">
        <v>35</v>
      </c>
      <c r="F18" s="52" t="s">
        <v>35</v>
      </c>
      <c r="G18" s="53" t="s">
        <v>35</v>
      </c>
      <c r="H18" s="54" t="s">
        <v>35</v>
      </c>
      <c r="I18" s="54" t="s">
        <v>35</v>
      </c>
      <c r="J18" s="54" t="s">
        <v>35</v>
      </c>
      <c r="K18" s="54" t="s">
        <v>35</v>
      </c>
      <c r="L18" s="54" t="s">
        <v>35</v>
      </c>
      <c r="M18" s="54" t="s">
        <v>35</v>
      </c>
      <c r="N18" s="54" t="s">
        <v>35</v>
      </c>
      <c r="O18" s="54" t="s">
        <v>35</v>
      </c>
      <c r="P18" s="55">
        <v>15000000</v>
      </c>
      <c r="Q18" s="56">
        <v>0.32</v>
      </c>
      <c r="R18" s="55">
        <f>P18*(1-Q18)</f>
        <v>10199999.999999998</v>
      </c>
      <c r="S18" s="55">
        <f>R18</f>
        <v>10199999.999999998</v>
      </c>
      <c r="T18" s="57">
        <v>1</v>
      </c>
      <c r="U18" s="58" t="s">
        <v>45</v>
      </c>
      <c r="V18" s="55">
        <f>P18</f>
        <v>15000000</v>
      </c>
      <c r="W18" s="59">
        <f>S18</f>
        <v>10199999.999999998</v>
      </c>
      <c r="X18" s="60" t="s">
        <v>58</v>
      </c>
      <c r="Y18" s="61"/>
      <c r="Z18" s="5"/>
      <c r="AA18" s="5"/>
      <c r="AB18" s="1"/>
      <c r="AC18" s="1"/>
    </row>
    <row r="19" spans="1:29" ht="91.5" customHeight="1" x14ac:dyDescent="0.2">
      <c r="A19" s="69" t="s">
        <v>60</v>
      </c>
      <c r="B19" s="70"/>
      <c r="C19" s="62" t="s">
        <v>64</v>
      </c>
      <c r="D19" s="62"/>
      <c r="E19" s="62"/>
      <c r="F19" s="62"/>
      <c r="G19" s="62"/>
      <c r="H19" s="63" t="s">
        <v>61</v>
      </c>
      <c r="I19" s="65">
        <v>11000000</v>
      </c>
      <c r="J19" s="66">
        <v>0.35</v>
      </c>
      <c r="K19" s="67">
        <f>I19*(1-J19)</f>
        <v>7150000</v>
      </c>
      <c r="L19" s="63" t="s">
        <v>62</v>
      </c>
      <c r="M19" s="65">
        <v>24000000</v>
      </c>
      <c r="N19" s="66">
        <v>0.32</v>
      </c>
      <c r="O19" s="67">
        <f>M19*(1-N19)</f>
        <v>16319999.999999998</v>
      </c>
      <c r="P19" s="64"/>
      <c r="Q19" s="64"/>
      <c r="R19" s="64"/>
      <c r="S19" s="67">
        <f>O19+K19</f>
        <v>23470000</v>
      </c>
      <c r="T19" s="68">
        <v>1</v>
      </c>
      <c r="U19" s="68" t="s">
        <v>45</v>
      </c>
      <c r="V19" s="65">
        <v>35000000</v>
      </c>
      <c r="W19" s="67">
        <f>O19+K19</f>
        <v>23470000</v>
      </c>
      <c r="X19" s="49" t="s">
        <v>63</v>
      </c>
      <c r="Y19" s="62"/>
      <c r="Z19" s="5"/>
      <c r="AA19" s="5"/>
      <c r="AB19" s="1"/>
      <c r="AC19" s="1"/>
    </row>
    <row r="20" spans="1:29" ht="15.7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1"/>
      <c r="AC20" s="1"/>
    </row>
    <row r="21" spans="1:29"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1"/>
      <c r="AC21" s="1"/>
    </row>
    <row r="22" spans="1:29"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1"/>
      <c r="AC22" s="1"/>
    </row>
    <row r="23" spans="1:29"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1"/>
      <c r="AC23" s="1"/>
    </row>
    <row r="24" spans="1:29"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1"/>
      <c r="AC24" s="1"/>
    </row>
    <row r="25" spans="1:29"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1"/>
      <c r="AC25" s="1"/>
    </row>
    <row r="26" spans="1:29"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1"/>
      <c r="AC26" s="1"/>
    </row>
    <row r="27" spans="1:29" ht="15.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1"/>
      <c r="AC27" s="1"/>
    </row>
    <row r="28" spans="1:29" ht="15.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1"/>
      <c r="AC28" s="1"/>
    </row>
    <row r="29" spans="1:29" ht="15.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1"/>
      <c r="AC29" s="1"/>
    </row>
    <row r="30" spans="1:29" ht="15.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1"/>
      <c r="AC30" s="1"/>
    </row>
    <row r="31" spans="1:29" ht="15.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1"/>
      <c r="AC31" s="1"/>
    </row>
    <row r="32" spans="1:29" ht="15.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1"/>
      <c r="AC32" s="1"/>
    </row>
    <row r="33" spans="1:29" ht="15.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1"/>
      <c r="AC33" s="1"/>
    </row>
    <row r="34" spans="1:29" ht="15.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1"/>
      <c r="AC34" s="1"/>
    </row>
    <row r="35" spans="1:29" ht="15.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1"/>
      <c r="AC35" s="1"/>
    </row>
    <row r="36" spans="1:29" ht="15.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1"/>
      <c r="AC36" s="1"/>
    </row>
    <row r="37" spans="1:29" ht="15.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1"/>
      <c r="AC37" s="1"/>
    </row>
    <row r="38" spans="1:29" ht="15.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1"/>
      <c r="AC38" s="1"/>
    </row>
    <row r="39" spans="1:29" ht="15.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1"/>
      <c r="AC39" s="1"/>
    </row>
    <row r="40" spans="1:29" ht="15.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1"/>
      <c r="AC40" s="1"/>
    </row>
    <row r="41" spans="1:29" ht="15.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1"/>
      <c r="AC41" s="1"/>
    </row>
    <row r="42" spans="1:29" ht="15.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1"/>
      <c r="AC42" s="1"/>
    </row>
    <row r="43" spans="1:29" ht="15.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1"/>
      <c r="AC43" s="1"/>
    </row>
    <row r="44" spans="1:29" ht="15.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1"/>
      <c r="AC44" s="1"/>
    </row>
    <row r="45" spans="1:29" ht="15.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1"/>
      <c r="AC45" s="1"/>
    </row>
    <row r="46" spans="1:29" ht="15.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1"/>
      <c r="AC46" s="1"/>
    </row>
    <row r="47" spans="1:29" ht="15.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1"/>
      <c r="AC47" s="1"/>
    </row>
    <row r="48" spans="1:29"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1"/>
      <c r="AC48" s="1"/>
    </row>
    <row r="49" spans="1:29"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1"/>
      <c r="AC49" s="1"/>
    </row>
    <row r="50" spans="1:29"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1"/>
      <c r="AC50" s="1"/>
    </row>
    <row r="51" spans="1:29"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1"/>
      <c r="AC51" s="1"/>
    </row>
    <row r="52" spans="1:29"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1"/>
      <c r="AC52" s="1"/>
    </row>
    <row r="53" spans="1:29"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1"/>
      <c r="AC53" s="1"/>
    </row>
    <row r="54" spans="1:29"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1"/>
      <c r="AC54" s="1"/>
    </row>
    <row r="55" spans="1:29"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1"/>
      <c r="AC55" s="1"/>
    </row>
    <row r="56" spans="1:29"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1"/>
      <c r="AC56" s="1"/>
    </row>
    <row r="57" spans="1:29"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1"/>
      <c r="AC57" s="1"/>
    </row>
    <row r="58" spans="1:29"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1"/>
      <c r="AC58" s="1"/>
    </row>
    <row r="59" spans="1:29"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1"/>
      <c r="AC59" s="1"/>
    </row>
    <row r="60" spans="1:29"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1"/>
      <c r="AC60" s="1"/>
    </row>
    <row r="61" spans="1:29"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1"/>
      <c r="AC61" s="1"/>
    </row>
    <row r="62" spans="1:29"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1"/>
      <c r="AC62" s="1"/>
    </row>
    <row r="63" spans="1:29"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1"/>
      <c r="AC63" s="1"/>
    </row>
    <row r="64" spans="1:29"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1"/>
      <c r="AC64" s="1"/>
    </row>
    <row r="65" spans="1:29"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1"/>
      <c r="AC65" s="1"/>
    </row>
    <row r="66" spans="1:29"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1"/>
      <c r="AC66" s="1"/>
    </row>
    <row r="67" spans="1:29"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1"/>
      <c r="AC67" s="1"/>
    </row>
    <row r="68" spans="1:29"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1"/>
      <c r="AC68" s="1"/>
    </row>
    <row r="69" spans="1:29"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1"/>
      <c r="AC69" s="1"/>
    </row>
    <row r="70" spans="1:29"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1"/>
      <c r="AC70" s="1"/>
    </row>
    <row r="71" spans="1:29"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1"/>
      <c r="AC71" s="1"/>
    </row>
    <row r="72" spans="1:29"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1"/>
      <c r="AC72" s="1"/>
    </row>
    <row r="73" spans="1:29"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1"/>
      <c r="AC73" s="1"/>
    </row>
    <row r="74" spans="1:29"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1"/>
      <c r="AC74" s="1"/>
    </row>
    <row r="75" spans="1:29"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1"/>
      <c r="AC75" s="1"/>
    </row>
    <row r="76" spans="1:29"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1"/>
      <c r="AC76" s="1"/>
    </row>
    <row r="77" spans="1:29"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1"/>
      <c r="AC77" s="1"/>
    </row>
    <row r="78" spans="1:29"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1"/>
      <c r="AC78" s="1"/>
    </row>
    <row r="79" spans="1:29"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1"/>
      <c r="AC79" s="1"/>
    </row>
    <row r="80" spans="1:29"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1"/>
      <c r="AC80" s="1"/>
    </row>
    <row r="81" spans="1:29"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1"/>
      <c r="AC81" s="1"/>
    </row>
    <row r="82" spans="1:29"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1"/>
      <c r="AC82" s="1"/>
    </row>
    <row r="83" spans="1:29"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1"/>
      <c r="AC83" s="1"/>
    </row>
    <row r="84" spans="1:29"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1"/>
      <c r="AC84" s="1"/>
    </row>
    <row r="85" spans="1:29"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1"/>
      <c r="AC85" s="1"/>
    </row>
    <row r="86" spans="1:29"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1"/>
      <c r="AC86" s="1"/>
    </row>
    <row r="87" spans="1:29"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1"/>
      <c r="AC87" s="1"/>
    </row>
    <row r="88" spans="1:29"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1"/>
      <c r="AC88" s="1"/>
    </row>
    <row r="89" spans="1:29"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1"/>
      <c r="AC89" s="1"/>
    </row>
    <row r="90" spans="1:29"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1"/>
      <c r="AC90" s="1"/>
    </row>
    <row r="91" spans="1:29"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1"/>
      <c r="AC91" s="1"/>
    </row>
    <row r="92" spans="1:29"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1"/>
      <c r="AC92" s="1"/>
    </row>
    <row r="93" spans="1:29"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1"/>
      <c r="AC93" s="1"/>
    </row>
    <row r="94" spans="1:29"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1"/>
      <c r="AC94" s="1"/>
    </row>
    <row r="95" spans="1:29"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1"/>
      <c r="AC95" s="1"/>
    </row>
    <row r="96" spans="1:29"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1"/>
      <c r="AC96" s="1"/>
    </row>
    <row r="97" spans="1:29"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1"/>
      <c r="AC97" s="1"/>
    </row>
    <row r="98" spans="1:29"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1"/>
      <c r="AC98" s="1"/>
    </row>
    <row r="99" spans="1:29"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1"/>
      <c r="AC99" s="1"/>
    </row>
    <row r="100" spans="1:29"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1"/>
      <c r="AC100" s="1"/>
    </row>
    <row r="101" spans="1:29"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1"/>
      <c r="AC101" s="1"/>
    </row>
    <row r="102" spans="1:29"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1"/>
      <c r="AC102" s="1"/>
    </row>
    <row r="103" spans="1:29"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1"/>
      <c r="AC103" s="1"/>
    </row>
    <row r="104" spans="1:29"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1"/>
      <c r="AC104" s="1"/>
    </row>
    <row r="105" spans="1:29"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1"/>
      <c r="AC105" s="1"/>
    </row>
    <row r="106" spans="1:29"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1"/>
      <c r="AC106" s="1"/>
    </row>
    <row r="107" spans="1:29"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1"/>
      <c r="AC107" s="1"/>
    </row>
    <row r="108" spans="1:29"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1"/>
      <c r="AC108" s="1"/>
    </row>
    <row r="109" spans="1:29"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1"/>
      <c r="AC109" s="1"/>
    </row>
    <row r="110" spans="1:29"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1"/>
      <c r="AC110" s="1"/>
    </row>
    <row r="111" spans="1:29"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1"/>
      <c r="AC111" s="1"/>
    </row>
    <row r="112" spans="1:29"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1"/>
      <c r="AC112" s="1"/>
    </row>
    <row r="113" spans="1:29"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1"/>
      <c r="AC113" s="1"/>
    </row>
    <row r="114" spans="1:29"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1"/>
      <c r="AC114" s="1"/>
    </row>
    <row r="115" spans="1:29"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1"/>
      <c r="AC115" s="1"/>
    </row>
    <row r="116" spans="1:29"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1"/>
      <c r="AC116" s="1"/>
    </row>
    <row r="117" spans="1:29"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1"/>
      <c r="AC117" s="1"/>
    </row>
    <row r="118" spans="1:29"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1"/>
      <c r="AC118" s="1"/>
    </row>
    <row r="119" spans="1:29"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1"/>
      <c r="AC119" s="1"/>
    </row>
    <row r="120" spans="1:29"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1"/>
      <c r="AC120" s="1"/>
    </row>
    <row r="121" spans="1:29"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1"/>
      <c r="AC121" s="1"/>
    </row>
    <row r="122" spans="1:29"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1"/>
      <c r="AC122" s="1"/>
    </row>
    <row r="123" spans="1:29"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1"/>
      <c r="AC123" s="1"/>
    </row>
    <row r="124" spans="1:29"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1"/>
      <c r="AC124" s="1"/>
    </row>
    <row r="125" spans="1:29"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1"/>
      <c r="AC125" s="1"/>
    </row>
    <row r="126" spans="1:29"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1"/>
      <c r="AC126" s="1"/>
    </row>
    <row r="127" spans="1:29"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1"/>
      <c r="AC127" s="1"/>
    </row>
    <row r="128" spans="1:29"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1"/>
      <c r="AC128" s="1"/>
    </row>
    <row r="129" spans="1:29"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1"/>
      <c r="AC129" s="1"/>
    </row>
    <row r="130" spans="1:29"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1"/>
      <c r="AC130" s="1"/>
    </row>
    <row r="131" spans="1:29"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1"/>
      <c r="AC131" s="1"/>
    </row>
    <row r="132" spans="1:29"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1"/>
      <c r="AC132" s="1"/>
    </row>
    <row r="133" spans="1:29"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1"/>
      <c r="AC133" s="1"/>
    </row>
    <row r="134" spans="1:29"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1"/>
      <c r="AC134" s="1"/>
    </row>
    <row r="135" spans="1:29"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1"/>
      <c r="AC135" s="1"/>
    </row>
    <row r="136" spans="1:29"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1"/>
      <c r="AC136" s="1"/>
    </row>
    <row r="137" spans="1:29"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1"/>
      <c r="AC137" s="1"/>
    </row>
    <row r="138" spans="1:29"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1"/>
      <c r="AC138" s="1"/>
    </row>
    <row r="139" spans="1:29"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1"/>
      <c r="AC139" s="1"/>
    </row>
    <row r="140" spans="1:29"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1"/>
      <c r="AC140" s="1"/>
    </row>
    <row r="141" spans="1:29"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1"/>
      <c r="AC141" s="1"/>
    </row>
    <row r="142" spans="1:29"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1"/>
      <c r="AC142" s="1"/>
    </row>
    <row r="143" spans="1:29"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1"/>
      <c r="AC143" s="1"/>
    </row>
    <row r="144" spans="1:29"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1"/>
      <c r="AC144" s="1"/>
    </row>
    <row r="145" spans="1:29"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1"/>
      <c r="AC145" s="1"/>
    </row>
    <row r="146" spans="1:29"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1"/>
      <c r="AC146" s="1"/>
    </row>
    <row r="147" spans="1:29"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1"/>
      <c r="AC147" s="1"/>
    </row>
    <row r="148" spans="1:29"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1"/>
      <c r="AC148" s="1"/>
    </row>
    <row r="149" spans="1:29"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1"/>
      <c r="AC149" s="1"/>
    </row>
    <row r="150" spans="1:29"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1"/>
      <c r="AC150" s="1"/>
    </row>
    <row r="151" spans="1:29"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1"/>
      <c r="AC151" s="1"/>
    </row>
    <row r="152" spans="1:29"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1"/>
      <c r="AC152" s="1"/>
    </row>
    <row r="153" spans="1:29"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1"/>
      <c r="AC153" s="1"/>
    </row>
    <row r="154" spans="1:29"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1"/>
      <c r="AC154" s="1"/>
    </row>
    <row r="155" spans="1:29"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1"/>
      <c r="AC155" s="1"/>
    </row>
    <row r="156" spans="1:29"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1"/>
      <c r="AC156" s="1"/>
    </row>
    <row r="157" spans="1:29"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1"/>
      <c r="AC157" s="1"/>
    </row>
    <row r="158" spans="1:29"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1"/>
      <c r="AC158" s="1"/>
    </row>
    <row r="159" spans="1:29"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1"/>
      <c r="AC159" s="1"/>
    </row>
    <row r="160" spans="1:29"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1"/>
      <c r="AC160" s="1"/>
    </row>
    <row r="161" spans="1:29"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1"/>
      <c r="AC161" s="1"/>
    </row>
    <row r="162" spans="1:29"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1"/>
      <c r="AC162" s="1"/>
    </row>
    <row r="163" spans="1:29"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1"/>
      <c r="AC163" s="1"/>
    </row>
    <row r="164" spans="1:29"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1"/>
      <c r="AC164" s="1"/>
    </row>
    <row r="165" spans="1:29"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1"/>
      <c r="AC165" s="1"/>
    </row>
    <row r="166" spans="1:29"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1"/>
      <c r="AC166" s="1"/>
    </row>
    <row r="167" spans="1:29"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1"/>
      <c r="AC167" s="1"/>
    </row>
    <row r="168" spans="1:29"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1"/>
      <c r="AC168" s="1"/>
    </row>
    <row r="169" spans="1:29"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1"/>
      <c r="AC169" s="1"/>
    </row>
    <row r="170" spans="1:29"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1"/>
      <c r="AC170" s="1"/>
    </row>
    <row r="171" spans="1:29"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1"/>
      <c r="AC171" s="1"/>
    </row>
    <row r="172" spans="1:29"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1"/>
      <c r="AC172" s="1"/>
    </row>
    <row r="173" spans="1:29"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1"/>
      <c r="AC173" s="1"/>
    </row>
    <row r="174" spans="1:29"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1"/>
      <c r="AC174" s="1"/>
    </row>
    <row r="175" spans="1:29"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1"/>
      <c r="AC175" s="1"/>
    </row>
    <row r="176" spans="1:29"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1"/>
      <c r="AC176" s="1"/>
    </row>
    <row r="177" spans="1:29"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1"/>
      <c r="AC177" s="1"/>
    </row>
    <row r="178" spans="1:29"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1"/>
      <c r="AC178" s="1"/>
    </row>
    <row r="179" spans="1:29"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1"/>
      <c r="AC179" s="1"/>
    </row>
    <row r="180" spans="1:29"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1"/>
      <c r="AC180" s="1"/>
    </row>
    <row r="181" spans="1:29"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1"/>
      <c r="AC181" s="1"/>
    </row>
    <row r="182" spans="1:29"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1"/>
      <c r="AC182" s="1"/>
    </row>
    <row r="183" spans="1:29"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1"/>
      <c r="AC183" s="1"/>
    </row>
    <row r="184" spans="1:29"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1"/>
      <c r="AC184" s="1"/>
    </row>
    <row r="185" spans="1:29"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1"/>
      <c r="AC185" s="1"/>
    </row>
    <row r="186" spans="1:29"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1"/>
      <c r="AC186" s="1"/>
    </row>
    <row r="187" spans="1:29"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1"/>
      <c r="AC187" s="1"/>
    </row>
    <row r="188" spans="1:29"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1"/>
      <c r="AC188" s="1"/>
    </row>
    <row r="189" spans="1:29"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1"/>
      <c r="AC189" s="1"/>
    </row>
    <row r="190" spans="1:29"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1"/>
      <c r="AC190" s="1"/>
    </row>
    <row r="191" spans="1:29"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1"/>
      <c r="AC191" s="1"/>
    </row>
    <row r="192" spans="1:29"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1"/>
      <c r="AC192" s="1"/>
    </row>
    <row r="193" spans="1:29"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1"/>
      <c r="AC193" s="1"/>
    </row>
    <row r="194" spans="1:29"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1"/>
      <c r="AC194" s="1"/>
    </row>
    <row r="195" spans="1:29"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1"/>
      <c r="AC195" s="1"/>
    </row>
    <row r="196" spans="1:29"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1"/>
      <c r="AC196" s="1"/>
    </row>
    <row r="197" spans="1:29"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1"/>
      <c r="AC197" s="1"/>
    </row>
    <row r="198" spans="1:29"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1"/>
      <c r="AC198" s="1"/>
    </row>
    <row r="199" spans="1:29"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1"/>
      <c r="AC199" s="1"/>
    </row>
    <row r="200" spans="1:29"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1"/>
      <c r="AC200" s="1"/>
    </row>
    <row r="201" spans="1:29"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1"/>
      <c r="AC201" s="1"/>
    </row>
    <row r="202" spans="1:29"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1"/>
      <c r="AC202" s="1"/>
    </row>
    <row r="203" spans="1:29"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1"/>
      <c r="AC203" s="1"/>
    </row>
    <row r="204" spans="1:29"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1"/>
      <c r="AC204" s="1"/>
    </row>
    <row r="205" spans="1:29"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1"/>
      <c r="AC205" s="1"/>
    </row>
    <row r="206" spans="1:29"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1"/>
      <c r="AC206" s="1"/>
    </row>
    <row r="207" spans="1:29"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1"/>
      <c r="AC207" s="1"/>
    </row>
    <row r="208" spans="1:29"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1"/>
      <c r="AC208" s="1"/>
    </row>
    <row r="209" spans="1:29"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1"/>
      <c r="AC209" s="1"/>
    </row>
    <row r="210" spans="1:29"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1"/>
      <c r="AC210" s="1"/>
    </row>
    <row r="211" spans="1:29"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1"/>
      <c r="AC211" s="1"/>
    </row>
    <row r="212" spans="1:29"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1"/>
      <c r="AC212" s="1"/>
    </row>
    <row r="213" spans="1:29"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1"/>
      <c r="AC213" s="1"/>
    </row>
    <row r="214" spans="1:29"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1"/>
      <c r="AC214" s="1"/>
    </row>
    <row r="215" spans="1:29"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1"/>
      <c r="AA215" s="1"/>
      <c r="AB215" s="1"/>
      <c r="AC215" s="1"/>
    </row>
    <row r="216" spans="1:29"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1"/>
      <c r="AA216" s="1"/>
      <c r="AB216" s="1"/>
      <c r="AC216" s="1"/>
    </row>
    <row r="217" spans="1:29"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1"/>
      <c r="AA217" s="1"/>
      <c r="AB217" s="1"/>
      <c r="AC217" s="1"/>
    </row>
    <row r="218" spans="1:29"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1"/>
      <c r="AA218" s="1"/>
      <c r="AB218" s="1"/>
      <c r="AC218" s="1"/>
    </row>
    <row r="219" spans="1:29"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1"/>
      <c r="AA219" s="1"/>
      <c r="AB219" s="1"/>
      <c r="AC219" s="1"/>
    </row>
    <row r="220" spans="1:29" ht="15.75" customHeight="1" x14ac:dyDescent="0.2"/>
    <row r="221" spans="1:29" ht="15.75" customHeight="1" x14ac:dyDescent="0.2"/>
    <row r="222" spans="1:29" ht="15.75" customHeight="1" x14ac:dyDescent="0.2"/>
    <row r="223" spans="1:29" ht="15.75" customHeight="1" x14ac:dyDescent="0.2"/>
    <row r="224" spans="1:29"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2">
    <mergeCell ref="A6:B6"/>
    <mergeCell ref="A12:B12"/>
    <mergeCell ref="A15:B15"/>
    <mergeCell ref="A1:C1"/>
    <mergeCell ref="D1:G1"/>
    <mergeCell ref="A2:B2"/>
    <mergeCell ref="E2:H5"/>
    <mergeCell ref="A3:B3"/>
    <mergeCell ref="A4:B4"/>
    <mergeCell ref="A5:B5"/>
    <mergeCell ref="A19:B19"/>
    <mergeCell ref="X8:Y8"/>
    <mergeCell ref="A10:C10"/>
    <mergeCell ref="A11:B11"/>
    <mergeCell ref="A13:B14"/>
    <mergeCell ref="A16:C16"/>
    <mergeCell ref="A8:B9"/>
    <mergeCell ref="C8:D8"/>
    <mergeCell ref="E8:O8"/>
    <mergeCell ref="S8:W8"/>
    <mergeCell ref="A18:B18"/>
    <mergeCell ref="A17:B17"/>
  </mergeCells>
  <hyperlinks>
    <hyperlink ref="D12" r:id="rId1"/>
    <hyperlink ref="D11" r:id="rId2"/>
  </hyperlinks>
  <pageMargins left="0.7" right="0.7" top="0.75" bottom="0.75" header="0" footer="0"/>
  <pageSetup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LAP60770-Local</dc:creator>
  <cp:lastModifiedBy>ADMIN</cp:lastModifiedBy>
  <dcterms:created xsi:type="dcterms:W3CDTF">2026-04-17T07:21:00Z</dcterms:created>
  <dcterms:modified xsi:type="dcterms:W3CDTF">2026-07-27T08:47:40Z</dcterms:modified>
</cp:coreProperties>
</file>